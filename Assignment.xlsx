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a58a54c5ee6e732/Documents/"/>
    </mc:Choice>
  </mc:AlternateContent>
  <xr:revisionPtr revIDLastSave="2" documentId="8_{644F1F0A-B211-46D2-9FCE-8E3E75E58DF0}" xr6:coauthVersionLast="47" xr6:coauthVersionMax="47" xr10:uidLastSave="{70301DFC-2DBE-44AC-BF12-675D2DED622A}"/>
  <bookViews>
    <workbookView xWindow="-108" yWindow="-108" windowWidth="23256" windowHeight="12456" activeTab="2" xr2:uid="{00000000-000D-0000-FFFF-FFFF00000000}"/>
  </bookViews>
  <sheets>
    <sheet name="highest revenue" sheetId="3" r:id="rId1"/>
    <sheet name="highest quantity,month" sheetId="4" r:id="rId2"/>
    <sheet name="orders" sheetId="1" r:id="rId3"/>
    <sheet name="Questions" sheetId="2" r:id="rId4"/>
  </sheets>
  <calcPr calcId="191029"/>
  <pivotCaches>
    <pivotCache cacheId="0" r:id="rId5"/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4" l="1"/>
  <c r="C15" i="4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2" i="1"/>
  <c r="J128" i="1"/>
  <c r="D5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2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3" i="1"/>
  <c r="L4" i="1"/>
  <c r="L5" i="1"/>
  <c r="L6" i="1"/>
  <c r="L7" i="1"/>
  <c r="L8" i="1"/>
  <c r="L9" i="1"/>
  <c r="L10" i="1"/>
  <c r="L2" i="1"/>
  <c r="L128" i="1" s="1"/>
</calcChain>
</file>

<file path=xl/sharedStrings.xml><?xml version="1.0" encoding="utf-8"?>
<sst xmlns="http://schemas.openxmlformats.org/spreadsheetml/2006/main" count="812" uniqueCount="265">
  <si>
    <t>Order ID</t>
  </si>
  <si>
    <t>Order Date</t>
  </si>
  <si>
    <t>Customer Name</t>
  </si>
  <si>
    <t>Region</t>
  </si>
  <si>
    <t>Salesperson Name</t>
  </si>
  <si>
    <t>Product</t>
  </si>
  <si>
    <t>Quantity</t>
  </si>
  <si>
    <t>Unit Price</t>
  </si>
  <si>
    <t>Discount %</t>
  </si>
  <si>
    <t>Payment Status</t>
  </si>
  <si>
    <t>Net Revenue</t>
  </si>
  <si>
    <t>Revenue</t>
  </si>
  <si>
    <t>Month</t>
  </si>
  <si>
    <t>O001</t>
  </si>
  <si>
    <t>Megha S</t>
  </si>
  <si>
    <t>South</t>
  </si>
  <si>
    <t>Neha Sharma</t>
  </si>
  <si>
    <t>Printer</t>
  </si>
  <si>
    <t>Paid</t>
  </si>
  <si>
    <t>O002</t>
  </si>
  <si>
    <t>Naveen</t>
  </si>
  <si>
    <t>RIYA GUPTA</t>
  </si>
  <si>
    <t>Office Chair</t>
  </si>
  <si>
    <t>O003</t>
  </si>
  <si>
    <t>Sahil</t>
  </si>
  <si>
    <t>North</t>
  </si>
  <si>
    <t>srikanth verma</t>
  </si>
  <si>
    <t>Mobile</t>
  </si>
  <si>
    <t>Pending</t>
  </si>
  <si>
    <t>O004</t>
  </si>
  <si>
    <t>Maya</t>
  </si>
  <si>
    <t>West</t>
  </si>
  <si>
    <t>O005</t>
  </si>
  <si>
    <t>Ramesh K</t>
  </si>
  <si>
    <t>Srikanth Verma</t>
  </si>
  <si>
    <t>Laptop</t>
  </si>
  <si>
    <t>O006</t>
  </si>
  <si>
    <t>Arjun Reddy</t>
  </si>
  <si>
    <t>East</t>
  </si>
  <si>
    <t>Anita Joseph</t>
  </si>
  <si>
    <t>O007</t>
  </si>
  <si>
    <t>Priya</t>
  </si>
  <si>
    <t>RAHUL NAIR</t>
  </si>
  <si>
    <t>O008</t>
  </si>
  <si>
    <t>Deepa Menon</t>
  </si>
  <si>
    <t>O009</t>
  </si>
  <si>
    <t>Manju S</t>
  </si>
  <si>
    <t>Unpaid</t>
  </si>
  <si>
    <t>O010</t>
  </si>
  <si>
    <t>O011</t>
  </si>
  <si>
    <t>Kamal</t>
  </si>
  <si>
    <t>Desk</t>
  </si>
  <si>
    <t>O012</t>
  </si>
  <si>
    <t>Sunil</t>
  </si>
  <si>
    <t>Rahul Nair</t>
  </si>
  <si>
    <t>O013</t>
  </si>
  <si>
    <t>Aditya</t>
  </si>
  <si>
    <t>O014</t>
  </si>
  <si>
    <t>O015</t>
  </si>
  <si>
    <t>Suresh</t>
  </si>
  <si>
    <t>O016</t>
  </si>
  <si>
    <t>Ritu</t>
  </si>
  <si>
    <t>O017</t>
  </si>
  <si>
    <t>Kishore</t>
  </si>
  <si>
    <t>O018</t>
  </si>
  <si>
    <t>Arun Kumar</t>
  </si>
  <si>
    <t>O019</t>
  </si>
  <si>
    <t>Tanvi</t>
  </si>
  <si>
    <t>ANITA JOSEPH</t>
  </si>
  <si>
    <t>O020</t>
  </si>
  <si>
    <t>Gita</t>
  </si>
  <si>
    <t>O021</t>
  </si>
  <si>
    <t>Neetu</t>
  </si>
  <si>
    <t>O022</t>
  </si>
  <si>
    <t>Rohit</t>
  </si>
  <si>
    <t>O023</t>
  </si>
  <si>
    <t>Kiran</t>
  </si>
  <si>
    <t>O024</t>
  </si>
  <si>
    <t>Dinesh</t>
  </si>
  <si>
    <t>O025</t>
  </si>
  <si>
    <t>Sakshi</t>
  </si>
  <si>
    <t>O026</t>
  </si>
  <si>
    <t>Vagdevi</t>
  </si>
  <si>
    <t>O027</t>
  </si>
  <si>
    <t>Mahesh</t>
  </si>
  <si>
    <t>O028</t>
  </si>
  <si>
    <t>Shalini S</t>
  </si>
  <si>
    <t>O029</t>
  </si>
  <si>
    <t>Neha</t>
  </si>
  <si>
    <t>O030</t>
  </si>
  <si>
    <t>Bhavana</t>
  </si>
  <si>
    <t>O031</t>
  </si>
  <si>
    <t>Ramesh</t>
  </si>
  <si>
    <t>O032</t>
  </si>
  <si>
    <t>Arun K</t>
  </si>
  <si>
    <t>O033</t>
  </si>
  <si>
    <t>Sameer</t>
  </si>
  <si>
    <t>O034</t>
  </si>
  <si>
    <t>Asha</t>
  </si>
  <si>
    <t>O035</t>
  </si>
  <si>
    <t>Veena Varma</t>
  </si>
  <si>
    <t>O036</t>
  </si>
  <si>
    <t>Sunita</t>
  </si>
  <si>
    <t>O037</t>
  </si>
  <si>
    <t>Prakash</t>
  </si>
  <si>
    <t>O038</t>
  </si>
  <si>
    <t>Kavita</t>
  </si>
  <si>
    <t>O039</t>
  </si>
  <si>
    <t>Ram</t>
  </si>
  <si>
    <t>O040</t>
  </si>
  <si>
    <t>Anil</t>
  </si>
  <si>
    <t>O041</t>
  </si>
  <si>
    <t>O042</t>
  </si>
  <si>
    <t>Jaya</t>
  </si>
  <si>
    <t>neha sharma</t>
  </si>
  <si>
    <t>O043</t>
  </si>
  <si>
    <t>Anita</t>
  </si>
  <si>
    <t>O044</t>
  </si>
  <si>
    <t>Praveen</t>
  </si>
  <si>
    <t>O045</t>
  </si>
  <si>
    <t>Nikita</t>
  </si>
  <si>
    <t>O100</t>
  </si>
  <si>
    <t>Ankit</t>
  </si>
  <si>
    <t>O046</t>
  </si>
  <si>
    <t>Kavya</t>
  </si>
  <si>
    <t>O047</t>
  </si>
  <si>
    <t>O048</t>
  </si>
  <si>
    <t>Meena</t>
  </si>
  <si>
    <t>O049</t>
  </si>
  <si>
    <t>Sandhya</t>
  </si>
  <si>
    <t>O050</t>
  </si>
  <si>
    <t>Suman</t>
  </si>
  <si>
    <t>O051</t>
  </si>
  <si>
    <t>O052</t>
  </si>
  <si>
    <t>Prashant</t>
  </si>
  <si>
    <t>O053</t>
  </si>
  <si>
    <t>O054</t>
  </si>
  <si>
    <t>Kumar</t>
  </si>
  <si>
    <t>O055</t>
  </si>
  <si>
    <t>Lakshmi</t>
  </si>
  <si>
    <t>O056</t>
  </si>
  <si>
    <t>O057</t>
  </si>
  <si>
    <t>O058</t>
  </si>
  <si>
    <t>O059</t>
  </si>
  <si>
    <t>Vikram</t>
  </si>
  <si>
    <t>O060</t>
  </si>
  <si>
    <t>O061</t>
  </si>
  <si>
    <t>O062</t>
  </si>
  <si>
    <t>Priyanka</t>
  </si>
  <si>
    <t>O063</t>
  </si>
  <si>
    <t>Gaurav</t>
  </si>
  <si>
    <t>O064</t>
  </si>
  <si>
    <t>Rekha</t>
  </si>
  <si>
    <t>O065</t>
  </si>
  <si>
    <t>O066</t>
  </si>
  <si>
    <t>Megha</t>
  </si>
  <si>
    <t>O067</t>
  </si>
  <si>
    <t>O068</t>
  </si>
  <si>
    <t xml:space="preserve">55000 </t>
  </si>
  <si>
    <t>O069</t>
  </si>
  <si>
    <t>O070</t>
  </si>
  <si>
    <t>Jagdish</t>
  </si>
  <si>
    <t>O071</t>
  </si>
  <si>
    <t>O072</t>
  </si>
  <si>
    <t>Bhavesh</t>
  </si>
  <si>
    <t>O073</t>
  </si>
  <si>
    <t>O074</t>
  </si>
  <si>
    <t>O075</t>
  </si>
  <si>
    <t>Kunal</t>
  </si>
  <si>
    <t>O076</t>
  </si>
  <si>
    <t>NEHA SHARMA</t>
  </si>
  <si>
    <t>O077</t>
  </si>
  <si>
    <t xml:space="preserve">19-Feb-2025  </t>
  </si>
  <si>
    <t>Shweta</t>
  </si>
  <si>
    <t>O078</t>
  </si>
  <si>
    <t>O079</t>
  </si>
  <si>
    <t>Aditi</t>
  </si>
  <si>
    <t>O080</t>
  </si>
  <si>
    <t>Sunaina</t>
  </si>
  <si>
    <t>O082</t>
  </si>
  <si>
    <t>O083</t>
  </si>
  <si>
    <t>Pooja</t>
  </si>
  <si>
    <t>O084</t>
  </si>
  <si>
    <t>Shiv</t>
  </si>
  <si>
    <t>O085</t>
  </si>
  <si>
    <t>Ananya</t>
  </si>
  <si>
    <t>O086</t>
  </si>
  <si>
    <t>O087</t>
  </si>
  <si>
    <t>Pranav</t>
  </si>
  <si>
    <t>O088</t>
  </si>
  <si>
    <t>Deepak</t>
  </si>
  <si>
    <t>O089</t>
  </si>
  <si>
    <t>O090</t>
  </si>
  <si>
    <t>Ragini</t>
  </si>
  <si>
    <t>O091</t>
  </si>
  <si>
    <t>O115</t>
  </si>
  <si>
    <t>O092</t>
  </si>
  <si>
    <t>Santhosh</t>
  </si>
  <si>
    <t>O093</t>
  </si>
  <si>
    <t>O094</t>
  </si>
  <si>
    <t>O095</t>
  </si>
  <si>
    <t>Ashok</t>
  </si>
  <si>
    <t>O096</t>
  </si>
  <si>
    <t>O097</t>
  </si>
  <si>
    <t>Bhavya</t>
  </si>
  <si>
    <t>O098</t>
  </si>
  <si>
    <t>Vinod</t>
  </si>
  <si>
    <t>O099</t>
  </si>
  <si>
    <t>Pratik</t>
  </si>
  <si>
    <t>O101</t>
  </si>
  <si>
    <t>O102</t>
  </si>
  <si>
    <t>O112</t>
  </si>
  <si>
    <t>O103</t>
  </si>
  <si>
    <t>O104</t>
  </si>
  <si>
    <t>O105</t>
  </si>
  <si>
    <t>O106</t>
  </si>
  <si>
    <t>O107</t>
  </si>
  <si>
    <t>O108</t>
  </si>
  <si>
    <t>O109</t>
  </si>
  <si>
    <t>Tejaswini</t>
  </si>
  <si>
    <t>O110</t>
  </si>
  <si>
    <t>O111</t>
  </si>
  <si>
    <t>O113</t>
  </si>
  <si>
    <t>O114</t>
  </si>
  <si>
    <t>Pradeep</t>
  </si>
  <si>
    <t>O116</t>
  </si>
  <si>
    <t>O117</t>
  </si>
  <si>
    <t>O118</t>
  </si>
  <si>
    <t>O119</t>
  </si>
  <si>
    <t>O120</t>
  </si>
  <si>
    <t>O121</t>
  </si>
  <si>
    <t>O122</t>
  </si>
  <si>
    <t xml:space="preserve">22-Feb-2025 </t>
  </si>
  <si>
    <t>NoteDate</t>
  </si>
  <si>
    <t>O123</t>
  </si>
  <si>
    <t>O124</t>
  </si>
  <si>
    <t>O125</t>
  </si>
  <si>
    <t>Questions</t>
  </si>
  <si>
    <t>Answers</t>
  </si>
  <si>
    <t>List 3 issues (anomalies) you found in the dataset and explain how it affects the analysis</t>
  </si>
  <si>
    <t>Determine whether higher discounts lead to higher revenue? Explain your conclusion using supporting numbers or statistics from the data.</t>
  </si>
  <si>
    <r>
      <t xml:space="preserve">Calculate the Total Revenue </t>
    </r>
    <r>
      <rPr>
        <i/>
        <sz val="10"/>
        <color rgb="FF000000"/>
        <rFont val="Cambria"/>
      </rPr>
      <t>(Answer using formula)</t>
    </r>
  </si>
  <si>
    <r>
      <t>Fill the “</t>
    </r>
    <r>
      <rPr>
        <b/>
        <sz val="10"/>
        <color theme="1"/>
        <rFont val="Cambria"/>
      </rPr>
      <t>Net Revenue</t>
    </r>
    <r>
      <rPr>
        <sz val="10"/>
        <color theme="1"/>
        <rFont val="Cambria"/>
      </rPr>
      <t>” and “</t>
    </r>
    <r>
      <rPr>
        <b/>
        <sz val="10"/>
        <color theme="1"/>
        <rFont val="Cambria"/>
      </rPr>
      <t>Revenue</t>
    </r>
    <r>
      <rPr>
        <sz val="10"/>
        <color theme="1"/>
        <rFont val="Cambria"/>
      </rPr>
      <t xml:space="preserve">” columns in the Orders sheet using formulas.
For orders where </t>
    </r>
    <r>
      <rPr>
        <b/>
        <sz val="10"/>
        <color theme="1"/>
        <rFont val="Cambria"/>
      </rPr>
      <t>Payment Status = Paid</t>
    </r>
    <r>
      <rPr>
        <sz val="10"/>
        <color theme="1"/>
        <rFont val="Cambria"/>
      </rPr>
      <t xml:space="preserve">:
- </t>
    </r>
    <r>
      <rPr>
        <b/>
        <sz val="10"/>
        <color theme="1"/>
        <rFont val="Cambria"/>
      </rPr>
      <t>Net Revenue</t>
    </r>
    <r>
      <rPr>
        <sz val="10"/>
        <color theme="1"/>
        <rFont val="Cambria"/>
      </rPr>
      <t xml:space="preserve"> = Quantity × Unit Price × (1 − Discount%)
- </t>
    </r>
    <r>
      <rPr>
        <b/>
        <sz val="10"/>
        <color theme="1"/>
        <rFont val="Cambria"/>
      </rPr>
      <t xml:space="preserve">Revenue </t>
    </r>
    <r>
      <rPr>
        <sz val="10"/>
        <color theme="1"/>
        <rFont val="Cambria"/>
      </rPr>
      <t>= Quantity × Unit Price</t>
    </r>
  </si>
  <si>
    <t xml:space="preserve">1.Order  Date values in different format Pivot tables won't summarize properly when data types are mixed.2.Discount % values are not in one format %  3.Unit price  currency stored as text it wont summarize value
</t>
  </si>
  <si>
    <t>applied the formulas for net revenue and revenue and caluculated the values</t>
  </si>
  <si>
    <t>Create a pivot table showing Net Revenue for each Region. Mention the Region with highest Net Revenue</t>
  </si>
  <si>
    <t>Row Labels</t>
  </si>
  <si>
    <t>Grand Total</t>
  </si>
  <si>
    <t>Sum of Net Revenue</t>
  </si>
  <si>
    <t>Highest Net Revenue</t>
  </si>
  <si>
    <t>caluculated Total Revenue is 5931000</t>
  </si>
  <si>
    <r>
      <t xml:space="preserve">What percentage of total orders are Unpaid or Pending? </t>
    </r>
    <r>
      <rPr>
        <i/>
        <sz val="10"/>
        <color rgb="FF000000"/>
        <rFont val="Cambria"/>
      </rPr>
      <t>(Answer using formula)</t>
    </r>
  </si>
  <si>
    <r>
      <t>1. Fill the “</t>
    </r>
    <r>
      <rPr>
        <b/>
        <sz val="10"/>
        <color rgb="FF000000"/>
        <rFont val="Cambria"/>
      </rPr>
      <t>Month</t>
    </r>
    <r>
      <rPr>
        <sz val="10"/>
        <color rgb="FF000000"/>
        <rFont val="Cambria"/>
      </rPr>
      <t>” column in the Orders subsheet by extracting the month from the</t>
    </r>
    <r>
      <rPr>
        <b/>
        <sz val="10"/>
        <color rgb="FF000000"/>
        <rFont val="Cambria"/>
      </rPr>
      <t xml:space="preserve"> Order Date</t>
    </r>
    <r>
      <rPr>
        <sz val="10"/>
        <color rgb="FF000000"/>
        <rFont val="Cambria"/>
      </rPr>
      <t xml:space="preserve"> using a formula.
2. Insert a new subsheet with name "</t>
    </r>
    <r>
      <rPr>
        <b/>
        <sz val="10"/>
        <color rgb="FF000000"/>
        <rFont val="Cambria"/>
      </rPr>
      <t>Products sold</t>
    </r>
    <r>
      <rPr>
        <sz val="10"/>
        <color rgb="FF000000"/>
        <rFont val="Cambria"/>
      </rPr>
      <t xml:space="preserve">" &amp; build a summary table that shows the </t>
    </r>
    <r>
      <rPr>
        <b/>
        <sz val="10"/>
        <color rgb="FF000000"/>
        <rFont val="Cambria"/>
      </rPr>
      <t xml:space="preserve">total quantity sold for each product, month-wise. </t>
    </r>
    <r>
      <rPr>
        <i/>
        <sz val="10"/>
        <color rgb="FF000000"/>
        <rFont val="Cambria"/>
      </rPr>
      <t>(Answer using formula, Rearrange columns if required)</t>
    </r>
    <r>
      <rPr>
        <sz val="10"/>
        <color rgb="FF000000"/>
        <rFont val="Cambria"/>
      </rPr>
      <t xml:space="preserve">
3. Mention which </t>
    </r>
    <r>
      <rPr>
        <b/>
        <sz val="10"/>
        <color rgb="FF000000"/>
        <rFont val="Cambria"/>
      </rPr>
      <t xml:space="preserve">month </t>
    </r>
    <r>
      <rPr>
        <sz val="10"/>
        <color rgb="FF000000"/>
        <rFont val="Cambria"/>
      </rPr>
      <t xml:space="preserve">and which </t>
    </r>
    <r>
      <rPr>
        <b/>
        <sz val="10"/>
        <color rgb="FF000000"/>
        <rFont val="Cambria"/>
      </rPr>
      <t xml:space="preserve">product </t>
    </r>
    <r>
      <rPr>
        <sz val="10"/>
        <color rgb="FF000000"/>
        <rFont val="Cambria"/>
      </rPr>
      <t xml:space="preserve">recorded the </t>
    </r>
    <r>
      <rPr>
        <b/>
        <sz val="10"/>
        <color rgb="FF000000"/>
        <rFont val="Cambria"/>
      </rPr>
      <t xml:space="preserve">highest total quantity sold </t>
    </r>
    <r>
      <rPr>
        <sz val="10"/>
        <color rgb="FF000000"/>
        <rFont val="Cambria"/>
      </rPr>
      <t>based on the summary.</t>
    </r>
  </si>
  <si>
    <t>(blank)</t>
  </si>
  <si>
    <t>Column Labels</t>
  </si>
  <si>
    <t>January</t>
  </si>
  <si>
    <t>February</t>
  </si>
  <si>
    <t>March</t>
  </si>
  <si>
    <t>April</t>
  </si>
  <si>
    <t>Sum of Quantity</t>
  </si>
  <si>
    <t>Highest Quantity Month</t>
  </si>
  <si>
    <t>Highest Quality sold</t>
  </si>
  <si>
    <t>Revenue is independent of discount as discount increases, Net Revenue decreases linearly</t>
  </si>
  <si>
    <t>caluculated the product sold and highest quantity sold in sheet 2</t>
  </si>
  <si>
    <t>created pivot tables with highest Net Revenue as West in sheet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</si>
</sst>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yyyy\-mm\-dd"/>
    <numFmt numFmtId="165" formatCode="_ [$₹-4009]\ * #,##0.00_ ;_ [$₹-4009]\ * \-#,##0.00_ ;_ [$₹-4009]\ * &quot;-&quot;??_ ;_ @_ "/>
  </numFmts>
  <fonts count="15" x14ac:knownFonts="1">
    <font>
      <sz val="10"/>
      <color rgb="FF000000"/>
      <name val="Arial"/>
      <scheme val="minor"/>
    </font>
    <font>
      <b/>
      <sz val="10"/>
      <color theme="1"/>
      <name val="Cambria"/>
    </font>
    <font>
      <sz val="10"/>
      <color theme="1"/>
      <name val="Cambria"/>
    </font>
    <font>
      <sz val="10"/>
      <color rgb="FF000000"/>
      <name val="Cambria"/>
    </font>
    <font>
      <i/>
      <sz val="10"/>
      <color rgb="FF000000"/>
      <name val="Cambria"/>
    </font>
    <font>
      <b/>
      <sz val="10"/>
      <color rgb="FF000000"/>
      <name val="Cambria"/>
    </font>
    <font>
      <sz val="10"/>
      <color rgb="FF000000"/>
      <name val="Arial"/>
      <scheme val="minor"/>
    </font>
    <font>
      <sz val="10"/>
      <color theme="1"/>
      <name val="Cambria"/>
      <family val="1"/>
    </font>
    <font>
      <sz val="10"/>
      <color rgb="FF000000"/>
      <name val="Cambria"/>
      <family val="1"/>
    </font>
    <font>
      <sz val="10"/>
      <color rgb="FF383A42"/>
      <name val="Arial"/>
      <family val="2"/>
      <scheme val="maj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B0F0"/>
      <name val="Arial"/>
      <family val="2"/>
      <scheme val="minor"/>
    </font>
    <font>
      <sz val="10"/>
      <color rgb="FF0D0D0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0" xfId="0" applyFont="1"/>
    <xf numFmtId="2" fontId="1" fillId="2" borderId="0" xfId="1" applyNumberFormat="1" applyFont="1" applyFill="1" applyAlignment="1">
      <alignment horizontal="center" vertical="center" wrapText="1"/>
    </xf>
    <xf numFmtId="0" fontId="2" fillId="0" borderId="0" xfId="1" applyNumberFormat="1" applyFont="1" applyAlignment="1">
      <alignment horizontal="right"/>
    </xf>
    <xf numFmtId="0" fontId="0" fillId="0" borderId="0" xfId="1" applyNumberFormat="1" applyFont="1"/>
    <xf numFmtId="0" fontId="0" fillId="0" borderId="0" xfId="0" applyAlignment="1">
      <alignment horizontal="left"/>
    </xf>
    <xf numFmtId="14" fontId="1" fillId="2" borderId="0" xfId="0" applyNumberFormat="1" applyFont="1" applyFill="1" applyAlignment="1">
      <alignment horizontal="left" vertical="center" wrapText="1"/>
    </xf>
    <xf numFmtId="1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65" fontId="1" fillId="2" borderId="0" xfId="0" applyNumberFormat="1" applyFont="1" applyFill="1" applyAlignment="1">
      <alignment horizontal="center" vertical="center" wrapText="1"/>
    </xf>
    <xf numFmtId="165" fontId="2" fillId="0" borderId="0" xfId="0" applyNumberFormat="1" applyFont="1" applyAlignment="1">
      <alignment horizontal="right"/>
    </xf>
    <xf numFmtId="165" fontId="0" fillId="0" borderId="0" xfId="0" applyNumberFormat="1"/>
    <xf numFmtId="6" fontId="2" fillId="0" borderId="0" xfId="0" applyNumberFormat="1" applyFont="1"/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0" fontId="0" fillId="0" borderId="0" xfId="0" pivotButton="1"/>
    <xf numFmtId="2" fontId="0" fillId="0" borderId="0" xfId="0" applyNumberFormat="1"/>
    <xf numFmtId="0" fontId="9" fillId="0" borderId="0" xfId="0" applyFont="1"/>
    <xf numFmtId="0" fontId="10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10" fontId="0" fillId="0" borderId="0" xfId="0" applyNumberFormat="1"/>
    <xf numFmtId="0" fontId="0" fillId="0" borderId="0" xfId="0" applyNumberForma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0" fontId="2" fillId="0" borderId="0" xfId="0" applyNumberFormat="1" applyFont="1" applyAlignment="1">
      <alignment horizontal="left" vertic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9.524939930554" createdVersion="8" refreshedVersion="8" minRefreshableVersion="3" recordCount="126" xr:uid="{A7047049-1407-4BD1-8E97-7AFD97C9EC50}">
  <cacheSource type="worksheet">
    <worksheetSource ref="A1:M127" sheet="orders"/>
  </cacheSource>
  <cacheFields count="13">
    <cacheField name="Order ID" numFmtId="0">
      <sharedItems/>
    </cacheField>
    <cacheField name="Order Date" numFmtId="14">
      <sharedItems containsDate="1" containsMixedTypes="1" minDate="2025-01-04T00:00:00" maxDate="2025-04-30T00:00:00"/>
    </cacheField>
    <cacheField name="Customer Name" numFmtId="0">
      <sharedItems/>
    </cacheField>
    <cacheField name="Region" numFmtId="0">
      <sharedItems count="4">
        <s v="South"/>
        <s v="North"/>
        <s v="West"/>
        <s v="East"/>
      </sharedItems>
    </cacheField>
    <cacheField name="Salesperson Name" numFmtId="0">
      <sharedItems containsBlank="1"/>
    </cacheField>
    <cacheField name="Product" numFmtId="0">
      <sharedItems/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MixedTypes="1" containsNumber="1" containsInteger="1" minValue="7500" maxValue="55000"/>
    </cacheField>
    <cacheField name="Discount %" numFmtId="0">
      <sharedItems containsSemiMixedTypes="0" containsString="0" containsNumber="1" minValue="0" maxValue="8"/>
    </cacheField>
    <cacheField name="Payment Status" numFmtId="0">
      <sharedItems/>
    </cacheField>
    <cacheField name="Net Revenue" numFmtId="0">
      <sharedItems containsSemiMixedTypes="0" containsString="0" containsNumber="1" minValue="0" maxValue="381150"/>
    </cacheField>
    <cacheField name="Revenue" numFmtId="0">
      <sharedItems containsSemiMixedTypes="0" containsString="0" containsNumber="1" containsInteger="1" minValue="0" maxValue="385000"/>
    </cacheField>
    <cacheField name="Month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9.658247916668" createdVersion="8" refreshedVersion="8" minRefreshableVersion="3" recordCount="127" xr:uid="{46338778-F5B8-4068-B076-82D8CB75E922}">
  <cacheSource type="worksheet">
    <worksheetSource ref="A1:M128" sheet="orders"/>
  </cacheSource>
  <cacheFields count="13">
    <cacheField name="Order ID" numFmtId="0">
      <sharedItems containsBlank="1"/>
    </cacheField>
    <cacheField name="Order Date" numFmtId="14">
      <sharedItems containsDate="1" containsBlank="1" containsMixedTypes="1" minDate="2025-01-04T00:00:00" maxDate="2025-04-30T00:00:00"/>
    </cacheField>
    <cacheField name="Customer Name" numFmtId="0">
      <sharedItems containsBlank="1"/>
    </cacheField>
    <cacheField name="Region" numFmtId="0">
      <sharedItems containsBlank="1"/>
    </cacheField>
    <cacheField name="Salesperson Name" numFmtId="0">
      <sharedItems containsBlank="1"/>
    </cacheField>
    <cacheField name="Product" numFmtId="0">
      <sharedItems containsBlank="1" count="6">
        <s v="Printer"/>
        <s v="Office Chair"/>
        <s v="Mobile"/>
        <s v="Laptop"/>
        <s v="Desk"/>
        <m/>
      </sharedItems>
    </cacheField>
    <cacheField name="Quantity" numFmtId="0">
      <sharedItems containsString="0" containsBlank="1" containsNumber="1" containsInteger="1" minValue="1" maxValue="7" count="8">
        <n v="2"/>
        <n v="6"/>
        <n v="1"/>
        <n v="3"/>
        <n v="4"/>
        <n v="5"/>
        <n v="7"/>
        <m/>
      </sharedItems>
    </cacheField>
    <cacheField name="Unit Price" numFmtId="0">
      <sharedItems containsBlank="1" containsMixedTypes="1" containsNumber="1" containsInteger="1" minValue="7500" maxValue="55000"/>
    </cacheField>
    <cacheField name="Discount %" numFmtId="0">
      <sharedItems containsString="0" containsBlank="1" containsNumber="1" minValue="0" maxValue="8"/>
    </cacheField>
    <cacheField name="Payment Status" numFmtId="0">
      <sharedItems containsMixedTypes="1" containsNumber="1" minValue="5.1031746031746028" maxValue="5.1031746031746028"/>
    </cacheField>
    <cacheField name="Net Revenue" numFmtId="0">
      <sharedItems containsString="0" containsBlank="1" containsNumber="1" minValue="0" maxValue="381150"/>
    </cacheField>
    <cacheField name="Revenue" numFmtId="0">
      <sharedItems containsSemiMixedTypes="0" containsString="0" containsNumber="1" containsInteger="1" minValue="0" maxValue="5931000"/>
    </cacheField>
    <cacheField name="Month" numFmtId="0">
      <sharedItems containsBlank="1" count="5">
        <s v="April"/>
        <s v="March"/>
        <s v="February"/>
        <s v="Januar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s v="O001"/>
    <d v="2025-04-23T00:00:00"/>
    <s v="Megha S"/>
    <x v="0"/>
    <s v="Neha Sharma"/>
    <s v="Printer"/>
    <n v="2"/>
    <n v="12000"/>
    <n v="5"/>
    <s v="Paid"/>
    <n v="22800"/>
    <n v="24000"/>
    <m/>
  </r>
  <r>
    <s v="O002"/>
    <d v="2025-04-28T00:00:00"/>
    <s v="Naveen"/>
    <x v="0"/>
    <s v="RIYA GUPTA"/>
    <s v="Office Chair"/>
    <n v="2"/>
    <n v="7500"/>
    <n v="6"/>
    <s v="Paid"/>
    <n v="14100"/>
    <n v="15000"/>
    <m/>
  </r>
  <r>
    <s v="O003"/>
    <d v="2025-03-07T00:00:00"/>
    <s v="Sahil"/>
    <x v="1"/>
    <s v="srikanth verma"/>
    <s v="Mobile"/>
    <n v="6"/>
    <n v="18000"/>
    <n v="8"/>
    <s v="Pending"/>
    <n v="0"/>
    <n v="0"/>
    <m/>
  </r>
  <r>
    <s v="O004"/>
    <d v="2025-02-14T00:00:00"/>
    <s v="Maya"/>
    <x v="2"/>
    <s v="Neha Sharma"/>
    <s v="Mobile"/>
    <n v="6"/>
    <n v="18000"/>
    <n v="8"/>
    <s v="Pending"/>
    <n v="0"/>
    <n v="0"/>
    <m/>
  </r>
  <r>
    <s v="O005"/>
    <d v="2025-02-20T00:00:00"/>
    <s v="Ramesh K"/>
    <x v="1"/>
    <s v="srikanth verma"/>
    <s v="Laptop"/>
    <n v="1"/>
    <n v="55000"/>
    <n v="0.08"/>
    <s v="Pending"/>
    <n v="0"/>
    <n v="0"/>
    <m/>
  </r>
  <r>
    <s v="O006"/>
    <d v="2025-03-03T00:00:00"/>
    <s v="Arjun Reddy"/>
    <x v="3"/>
    <s v="Anita Joseph"/>
    <s v="Laptop"/>
    <n v="2"/>
    <n v="55000"/>
    <n v="6"/>
    <s v="Paid"/>
    <n v="103400"/>
    <n v="110000"/>
    <m/>
  </r>
  <r>
    <s v="O007"/>
    <d v="2025-04-11T00:00:00"/>
    <s v="Priya"/>
    <x v="2"/>
    <s v="RAHUL NAIR"/>
    <s v="Printer"/>
    <n v="3"/>
    <n v="12000"/>
    <n v="5"/>
    <s v="Paid"/>
    <n v="34200"/>
    <n v="36000"/>
    <m/>
  </r>
  <r>
    <s v="O008"/>
    <d v="2025-03-19T00:00:00"/>
    <s v="Deepa Menon"/>
    <x v="0"/>
    <s v="Neha Sharma"/>
    <s v="Mobile"/>
    <n v="4"/>
    <n v="18000"/>
    <n v="7"/>
    <s v="Paid"/>
    <n v="66960"/>
    <n v="72000"/>
    <m/>
  </r>
  <r>
    <s v="O009"/>
    <d v="2025-02-25T00:00:00"/>
    <s v="Manju S"/>
    <x v="3"/>
    <m/>
    <s v="Laptop"/>
    <n v="3"/>
    <n v="55000"/>
    <n v="5"/>
    <s v="Unpaid"/>
    <n v="0"/>
    <n v="0"/>
    <m/>
  </r>
  <r>
    <s v="O010"/>
    <d v="2025-02-07T00:00:00"/>
    <s v="Anita Joseph"/>
    <x v="0"/>
    <s v="Anita Joseph"/>
    <s v="Office Chair"/>
    <n v="2"/>
    <n v="7500"/>
    <n v="8"/>
    <s v="Paid"/>
    <n v="13800"/>
    <n v="15000"/>
    <m/>
  </r>
  <r>
    <s v="O011"/>
    <d v="2025-04-03T00:00:00"/>
    <s v="Kamal"/>
    <x v="1"/>
    <s v="Neha Sharma"/>
    <s v="Desk"/>
    <n v="1"/>
    <n v="9500"/>
    <n v="3"/>
    <s v="Paid"/>
    <n v="9215"/>
    <n v="9500"/>
    <m/>
  </r>
  <r>
    <s v="O012"/>
    <d v="2025-02-17T00:00:00"/>
    <s v="Sunil"/>
    <x v="2"/>
    <s v="RAHUL NAIR"/>
    <s v="Printer"/>
    <n v="1"/>
    <n v="12000"/>
    <n v="4"/>
    <s v="Paid"/>
    <n v="11520"/>
    <n v="12000"/>
    <m/>
  </r>
  <r>
    <s v="O013"/>
    <d v="2025-03-02T00:00:00"/>
    <s v="Aditya"/>
    <x v="3"/>
    <s v="Neha Sharma"/>
    <s v="Mobile"/>
    <n v="6"/>
    <n v="18000"/>
    <n v="8"/>
    <s v="Paid"/>
    <n v="99360"/>
    <n v="108000"/>
    <m/>
  </r>
  <r>
    <s v="O014"/>
    <d v="2025-04-13T00:00:00"/>
    <s v="Priya"/>
    <x v="2"/>
    <s v="Neha Sharma"/>
    <s v="Mobile"/>
    <n v="5"/>
    <n v="18000"/>
    <n v="0"/>
    <s v="Paid"/>
    <n v="90000"/>
    <n v="90000"/>
    <m/>
  </r>
  <r>
    <s v="O015"/>
    <d v="2025-03-08T00:00:00"/>
    <s v="Suresh"/>
    <x v="0"/>
    <s v="RAHUL NAIR"/>
    <s v="Laptop"/>
    <n v="1"/>
    <n v="55000"/>
    <n v="7"/>
    <s v="Paid"/>
    <n v="51150"/>
    <n v="55000"/>
    <m/>
  </r>
  <r>
    <s v="O016"/>
    <d v="2025-02-21T00:00:00"/>
    <s v="Ritu"/>
    <x v="1"/>
    <s v="RIYA GUPTA"/>
    <s v="Office Chair"/>
    <n v="3"/>
    <n v="7500"/>
    <n v="5"/>
    <s v="Paid"/>
    <n v="21375"/>
    <n v="22500"/>
    <m/>
  </r>
  <r>
    <s v="O017"/>
    <d v="2025-03-29T00:00:00"/>
    <s v="Kishore"/>
    <x v="3"/>
    <s v="srikanth verma"/>
    <s v="Desk"/>
    <n v="2"/>
    <n v="9500"/>
    <n v="6"/>
    <s v="Paid"/>
    <n v="17860"/>
    <n v="19000"/>
    <m/>
  </r>
  <r>
    <s v="O018"/>
    <d v="2025-04-02T00:00:00"/>
    <s v="Arun Kumar"/>
    <x v="2"/>
    <s v="Neha Sharma"/>
    <s v="Laptop"/>
    <n v="7"/>
    <n v="55000"/>
    <n v="1"/>
    <s v="Unpaid"/>
    <n v="0"/>
    <n v="0"/>
    <m/>
  </r>
  <r>
    <s v="O019"/>
    <d v="2025-03-05T00:00:00"/>
    <s v="Tanvi"/>
    <x v="0"/>
    <s v="Anita Joseph"/>
    <s v="Printer"/>
    <n v="2"/>
    <n v="12000"/>
    <n v="5"/>
    <s v="Paid"/>
    <n v="22800"/>
    <n v="24000"/>
    <m/>
  </r>
  <r>
    <s v="O020"/>
    <d v="2025-04-12T00:00:00"/>
    <s v="Gita"/>
    <x v="1"/>
    <s v="RAHUL NAIR"/>
    <s v="Mobile"/>
    <n v="4"/>
    <n v="18000"/>
    <n v="8"/>
    <s v="Paid"/>
    <n v="66240"/>
    <n v="72000"/>
    <m/>
  </r>
  <r>
    <s v="O021"/>
    <d v="2025-02-24T00:00:00"/>
    <s v="Neetu"/>
    <x v="0"/>
    <s v="Neha Sharma"/>
    <s v="Desk"/>
    <n v="3"/>
    <n v="9500"/>
    <n v="6"/>
    <s v="Paid"/>
    <n v="26790"/>
    <n v="28500"/>
    <m/>
  </r>
  <r>
    <s v="O022"/>
    <d v="2025-03-09T00:00:00"/>
    <s v="Rohit"/>
    <x v="2"/>
    <s v="RIYA GUPTA"/>
    <s v="Office Chair"/>
    <n v="4"/>
    <n v="7500"/>
    <n v="4"/>
    <s v="Pending"/>
    <n v="0"/>
    <n v="0"/>
    <m/>
  </r>
  <r>
    <s v="O023"/>
    <d v="2025-04-15T00:00:00"/>
    <s v="Kiran"/>
    <x v="3"/>
    <s v="Neha Sharma"/>
    <s v="Printer"/>
    <n v="2"/>
    <n v="12000"/>
    <n v="5"/>
    <s v="Paid"/>
    <n v="22800"/>
    <n v="24000"/>
    <m/>
  </r>
  <r>
    <s v="O024"/>
    <d v="2025-02-18T00:00:00"/>
    <s v="Dinesh"/>
    <x v="0"/>
    <s v="Anita Joseph"/>
    <s v="Mobile"/>
    <n v="3"/>
    <n v="18000"/>
    <n v="6"/>
    <s v="Paid"/>
    <n v="50760"/>
    <n v="54000"/>
    <m/>
  </r>
  <r>
    <s v="O025"/>
    <d v="2025-04-20T00:00:00"/>
    <s v="Sakshi"/>
    <x v="1"/>
    <s v="RAHUL NAIR"/>
    <s v="Desk"/>
    <n v="5"/>
    <n v="9500"/>
    <n v="2"/>
    <s v="Unpaid"/>
    <n v="0"/>
    <n v="0"/>
    <m/>
  </r>
  <r>
    <s v="O026"/>
    <d v="2025-03-01T00:00:00"/>
    <s v="Vagdevi"/>
    <x v="2"/>
    <s v="Neha Sharma"/>
    <s v="Laptop"/>
    <n v="1"/>
    <n v="55000"/>
    <n v="5"/>
    <s v="Paid"/>
    <n v="52250"/>
    <n v="55000"/>
    <m/>
  </r>
  <r>
    <s v="O027"/>
    <d v="2025-02-11T00:00:00"/>
    <s v="Mahesh"/>
    <x v="3"/>
    <s v="srikanth verma"/>
    <s v="Desk"/>
    <n v="2"/>
    <n v="9500"/>
    <n v="6"/>
    <s v="Paid"/>
    <n v="17860"/>
    <n v="19000"/>
    <m/>
  </r>
  <r>
    <s v="O028"/>
    <d v="2025-04-04T00:00:00"/>
    <s v="Shalini S"/>
    <x v="0"/>
    <s v="Anita Joseph"/>
    <s v="Printer"/>
    <n v="3"/>
    <n v="12000"/>
    <n v="5"/>
    <s v="Paid"/>
    <n v="34200"/>
    <n v="36000"/>
    <m/>
  </r>
  <r>
    <s v="O029"/>
    <d v="2025-03-14T00:00:00"/>
    <s v="Neha"/>
    <x v="1"/>
    <s v="RAHUL NAIR"/>
    <s v="Mobile"/>
    <n v="7"/>
    <n v="18000"/>
    <n v="4"/>
    <s v="Paid"/>
    <n v="120960"/>
    <n v="126000"/>
    <m/>
  </r>
  <r>
    <s v="O030"/>
    <d v="2025-02-27T00:00:00"/>
    <s v="Bhavana"/>
    <x v="2"/>
    <s v="Neha Sharma"/>
    <s v="Office Chair"/>
    <n v="2"/>
    <n v="7500"/>
    <n v="6"/>
    <s v="Paid"/>
    <n v="14100"/>
    <n v="15000"/>
    <m/>
  </r>
  <r>
    <s v="O031"/>
    <d v="2025-03-30T00:00:00"/>
    <s v="Ramesh"/>
    <x v="0"/>
    <s v="RAHUL NAIR"/>
    <s v="Laptop"/>
    <n v="2"/>
    <n v="55000"/>
    <n v="6"/>
    <s v="Paid"/>
    <n v="103400"/>
    <n v="110000"/>
    <m/>
  </r>
  <r>
    <s v="O032"/>
    <d v="2025-02-06T00:00:00"/>
    <s v="Arun K"/>
    <x v="3"/>
    <s v="RIYA GUPTA"/>
    <s v="Printer"/>
    <n v="1"/>
    <n v="12000"/>
    <n v="3"/>
    <s v="Paid"/>
    <n v="11640"/>
    <n v="12000"/>
    <m/>
  </r>
  <r>
    <s v="O033"/>
    <d v="2025-03-22T00:00:00"/>
    <s v="Sameer"/>
    <x v="2"/>
    <s v="Neha Sharma"/>
    <s v="Mobile"/>
    <n v="3"/>
    <n v="18000"/>
    <n v="5"/>
    <s v="Paid"/>
    <n v="51300"/>
    <n v="54000"/>
    <m/>
  </r>
  <r>
    <s v="O034"/>
    <d v="2025-04-10T00:00:00"/>
    <s v="Asha"/>
    <x v="0"/>
    <s v="Anita Joseph"/>
    <s v="Desk"/>
    <n v="4"/>
    <n v="9500"/>
    <n v="7"/>
    <s v="Pending"/>
    <n v="0"/>
    <n v="0"/>
    <m/>
  </r>
  <r>
    <s v="O035"/>
    <d v="2025-03-16T00:00:00"/>
    <s v="Veena Varma"/>
    <x v="1"/>
    <s v="Neha Sharma"/>
    <s v="Printer"/>
    <n v="2"/>
    <n v="12000"/>
    <n v="6"/>
    <s v="Paid"/>
    <n v="22560"/>
    <n v="24000"/>
    <m/>
  </r>
  <r>
    <s v="O036"/>
    <d v="2025-04-05T00:00:00"/>
    <s v="Sunita"/>
    <x v="3"/>
    <s v="RAHUL NAIR"/>
    <s v="Mobile"/>
    <n v="3"/>
    <n v="18000"/>
    <n v="5"/>
    <s v="Paid"/>
    <n v="51300"/>
    <n v="54000"/>
    <m/>
  </r>
  <r>
    <s v="O037"/>
    <d v="2025-02-26T00:00:00"/>
    <s v="Prakash"/>
    <x v="0"/>
    <s v="Neha Sharma"/>
    <s v="Laptop"/>
    <n v="2"/>
    <n v="55000"/>
    <n v="7"/>
    <s v="Paid"/>
    <n v="102300"/>
    <n v="110000"/>
    <m/>
  </r>
  <r>
    <s v="O038"/>
    <d v="2025-03-08T00:00:00"/>
    <s v="Kavita"/>
    <x v="2"/>
    <s v="Anita Joseph"/>
    <s v="Office Chair"/>
    <n v="1"/>
    <n v="7500"/>
    <n v="4"/>
    <s v="Paid"/>
    <n v="7200"/>
    <n v="7500"/>
    <m/>
  </r>
  <r>
    <s v="O039"/>
    <d v="2025-02-17T00:00:00"/>
    <s v="Ram"/>
    <x v="1"/>
    <s v="RIYA GUPTA"/>
    <s v="Desk"/>
    <n v="2"/>
    <n v="9500"/>
    <n v="3"/>
    <s v="Pending"/>
    <n v="0"/>
    <n v="0"/>
    <m/>
  </r>
  <r>
    <s v="O040"/>
    <d v="2025-04-01T00:00:00"/>
    <s v="Anil"/>
    <x v="0"/>
    <s v="Neha Sharma"/>
    <s v="Mobile"/>
    <n v="4"/>
    <n v="18000"/>
    <n v="8"/>
    <s v="Paid"/>
    <n v="66240"/>
    <n v="72000"/>
    <m/>
  </r>
  <r>
    <s v="O041"/>
    <d v="2025-02-11T00:00:00"/>
    <s v="Maya"/>
    <x v="2"/>
    <s v="RAHUL NAIR"/>
    <s v="Printer"/>
    <n v="3"/>
    <n v="12000"/>
    <n v="5"/>
    <s v="Paid"/>
    <n v="34200"/>
    <n v="36000"/>
    <m/>
  </r>
  <r>
    <s v="O042"/>
    <d v="2025-03-03T00:00:00"/>
    <s v="Jaya"/>
    <x v="3"/>
    <s v="Neha Sharma"/>
    <s v="Mobile"/>
    <n v="5"/>
    <n v="18000"/>
    <n v="6"/>
    <s v="Unpaid"/>
    <n v="0"/>
    <n v="0"/>
    <m/>
  </r>
  <r>
    <s v="O043"/>
    <d v="2025-03-29T00:00:00"/>
    <s v="Anita"/>
    <x v="1"/>
    <s v="srikanth verma"/>
    <s v="Laptop"/>
    <n v="2"/>
    <n v="55000"/>
    <n v="5"/>
    <s v="Paid"/>
    <n v="104500"/>
    <n v="110000"/>
    <m/>
  </r>
  <r>
    <s v="O044"/>
    <d v="2025-04-06T00:00:00"/>
    <s v="Praveen"/>
    <x v="0"/>
    <s v="Anita Joseph"/>
    <s v="Office Chair"/>
    <n v="2"/>
    <n v="7500"/>
    <n v="6"/>
    <s v="Paid"/>
    <n v="14100"/>
    <n v="15000"/>
    <m/>
  </r>
  <r>
    <s v="O045"/>
    <d v="2025-02-23T00:00:00"/>
    <s v="Nikita"/>
    <x v="2"/>
    <s v="RAHUL NAIR"/>
    <s v="Mobile"/>
    <n v="4"/>
    <n v="18000"/>
    <n v="8"/>
    <s v="Paid"/>
    <n v="66240"/>
    <n v="72000"/>
    <m/>
  </r>
  <r>
    <s v="O046"/>
    <d v="2025-03-31T00:00:00"/>
    <s v="Kavya"/>
    <x v="3"/>
    <s v="Neha Sharma"/>
    <s v="Printer"/>
    <n v="2"/>
    <n v="12000"/>
    <n v="5"/>
    <s v="Paid"/>
    <n v="22800"/>
    <n v="24000"/>
    <m/>
  </r>
  <r>
    <s v="O047"/>
    <d v="2025-02-14T00:00:00"/>
    <s v="Sahil"/>
    <x v="1"/>
    <s v="RAHUL NAIR"/>
    <s v="Laptop"/>
    <n v="5"/>
    <n v="55000"/>
    <n v="7"/>
    <s v="Paid"/>
    <n v="255749.99999999997"/>
    <n v="275000"/>
    <m/>
  </r>
  <r>
    <s v="O048"/>
    <d v="2025-02-28T00:00:00"/>
    <s v="Meena"/>
    <x v="0"/>
    <s v="RIYA GUPTA"/>
    <s v="Desk"/>
    <n v="3"/>
    <n v="9500"/>
    <n v="4"/>
    <s v="Paid"/>
    <n v="27360"/>
    <n v="28500"/>
    <m/>
  </r>
  <r>
    <s v="O049"/>
    <d v="2025-03-21T00:00:00"/>
    <s v="Sandhya"/>
    <x v="2"/>
    <s v="Neha Sharma"/>
    <s v="Mobile"/>
    <n v="6"/>
    <n v="18000"/>
    <n v="5"/>
    <s v="Paid"/>
    <n v="102600"/>
    <n v="108000"/>
    <m/>
  </r>
  <r>
    <s v="O050"/>
    <d v="2025-03-05T00:00:00"/>
    <s v="Suman"/>
    <x v="3"/>
    <s v="Anita Joseph"/>
    <s v="Laptop"/>
    <n v="1"/>
    <n v="55000"/>
    <n v="6"/>
    <s v="Paid"/>
    <n v="51700"/>
    <n v="55000"/>
    <m/>
  </r>
  <r>
    <s v="O051"/>
    <d v="2025-04-12T00:00:00"/>
    <s v="Naveen"/>
    <x v="0"/>
    <s v="Neha Sharma"/>
    <s v="Mobile"/>
    <n v="5"/>
    <n v="18000"/>
    <n v="3"/>
    <s v="Paid"/>
    <n v="87300"/>
    <n v="90000"/>
    <m/>
  </r>
  <r>
    <s v="O052"/>
    <d v="2025-04-25T00:00:00"/>
    <s v="Prashant"/>
    <x v="2"/>
    <s v="RAHUL NAIR"/>
    <s v="Printer"/>
    <n v="1"/>
    <n v="12000"/>
    <n v="5"/>
    <s v="Paid"/>
    <n v="11400"/>
    <n v="12000"/>
    <m/>
  </r>
  <r>
    <s v="O053"/>
    <d v="2025-02-08T00:00:00"/>
    <s v="Deepa Menon"/>
    <x v="3"/>
    <s v="Anita Joseph"/>
    <s v="Mobile"/>
    <n v="6"/>
    <n v="18000"/>
    <n v="8"/>
    <s v="Paid"/>
    <n v="99360"/>
    <n v="108000"/>
    <m/>
  </r>
  <r>
    <s v="O054"/>
    <d v="2025-03-19T00:00:00"/>
    <s v="Kumar"/>
    <x v="0"/>
    <s v="Neha Sharma"/>
    <s v="Desk"/>
    <n v="2"/>
    <n v="9500"/>
    <n v="6"/>
    <s v="Paid"/>
    <n v="17860"/>
    <n v="19000"/>
    <m/>
  </r>
  <r>
    <s v="O055"/>
    <d v="2025-03-02T00:00:00"/>
    <s v="Lakshmi"/>
    <x v="2"/>
    <s v="RIYA GUPTA"/>
    <s v="Office Chair"/>
    <n v="6"/>
    <n v="7500"/>
    <n v="5"/>
    <s v="Pending"/>
    <n v="0"/>
    <n v="0"/>
    <m/>
  </r>
  <r>
    <s v="O056"/>
    <d v="2025-04-09T00:00:00"/>
    <s v="Neha Sharma"/>
    <x v="1"/>
    <s v="RAHUL NAIR"/>
    <s v="Mobile"/>
    <n v="4"/>
    <n v="18000"/>
    <n v="6"/>
    <s v="Paid"/>
    <n v="67680"/>
    <n v="72000"/>
    <m/>
  </r>
  <r>
    <s v="O057"/>
    <d v="2025-02-17T00:00:00"/>
    <s v="Suresh"/>
    <x v="0"/>
    <s v="Neha Sharma"/>
    <s v="Printer"/>
    <n v="2"/>
    <n v="12000"/>
    <n v="4"/>
    <s v="Paid"/>
    <n v="23040"/>
    <n v="24000"/>
    <m/>
  </r>
  <r>
    <s v="O058"/>
    <d v="2025-02-20T00:00:00"/>
    <s v="Sunil"/>
    <x v="2"/>
    <s v="Anita Joseph"/>
    <s v="Laptop"/>
    <n v="3"/>
    <n v="55000"/>
    <n v="6"/>
    <s v="Paid"/>
    <n v="155100"/>
    <n v="165000"/>
    <m/>
  </r>
  <r>
    <s v="O059"/>
    <d v="2025-03-24T00:00:00"/>
    <s v="Vikram"/>
    <x v="3"/>
    <s v="RAHUL NAIR"/>
    <s v="Desk"/>
    <n v="1"/>
    <n v="9500"/>
    <n v="3"/>
    <s v="Paid"/>
    <n v="9215"/>
    <n v="9500"/>
    <m/>
  </r>
  <r>
    <s v="O060"/>
    <d v="2025-02-13T00:00:00"/>
    <s v="Kamal"/>
    <x v="0"/>
    <s v="Neha Sharma"/>
    <s v="Mobile"/>
    <n v="2"/>
    <n v="18000"/>
    <n v="5"/>
    <s v="Paid"/>
    <n v="34200"/>
    <n v="36000"/>
    <m/>
  </r>
  <r>
    <s v="O061"/>
    <d v="2025-04-02T00:00:00"/>
    <s v="Rohit"/>
    <x v="1"/>
    <s v="Anita Joseph"/>
    <s v="Printer"/>
    <n v="3"/>
    <n v="12000"/>
    <n v="5"/>
    <s v="Paid"/>
    <n v="34200"/>
    <n v="36000"/>
    <m/>
  </r>
  <r>
    <s v="O062"/>
    <d v="2025-04-15T00:00:00"/>
    <s v="Priyanka"/>
    <x v="2"/>
    <s v="RAHUL NAIR"/>
    <s v="Laptop"/>
    <n v="1"/>
    <n v="55000"/>
    <n v="6"/>
    <s v="Paid"/>
    <n v="51700"/>
    <n v="55000"/>
    <m/>
  </r>
  <r>
    <s v="O063"/>
    <d v="2025-02-27T00:00:00"/>
    <s v="Gaurav"/>
    <x v="3"/>
    <s v="Neha Sharma"/>
    <s v="Mobile"/>
    <n v="2"/>
    <n v="18000"/>
    <n v="4"/>
    <s v="Paid"/>
    <n v="34560"/>
    <n v="36000"/>
    <m/>
  </r>
  <r>
    <s v="O064"/>
    <d v="2025-03-10T00:00:00"/>
    <s v="Rekha"/>
    <x v="0"/>
    <s v="RAHUL NAIR"/>
    <s v="Office Chair"/>
    <n v="3"/>
    <n v="7500"/>
    <n v="5"/>
    <s v="Pending"/>
    <n v="0"/>
    <n v="0"/>
    <m/>
  </r>
  <r>
    <s v="O065"/>
    <d v="2025-04-18T00:00:00"/>
    <s v="Sahil"/>
    <x v="1"/>
    <s v="Neha Sharma"/>
    <s v="Printer"/>
    <n v="4"/>
    <n v="12000"/>
    <n v="7"/>
    <s v="Paid"/>
    <n v="44640"/>
    <n v="48000"/>
    <m/>
  </r>
  <r>
    <s v="O066"/>
    <d v="2025-04-04T00:00:00"/>
    <s v="Megha"/>
    <x v="2"/>
    <s v="Anita Joseph"/>
    <s v="Mobile"/>
    <n v="6"/>
    <n v="18000"/>
    <n v="8"/>
    <s v="Pending"/>
    <n v="0"/>
    <n v="0"/>
    <m/>
  </r>
  <r>
    <s v="O067"/>
    <d v="2025-02-22T00:00:00"/>
    <s v="Kishore"/>
    <x v="3"/>
    <s v="RIYA GUPTA"/>
    <s v="Desk"/>
    <n v="2"/>
    <n v="9500"/>
    <n v="6"/>
    <s v="Paid"/>
    <n v="17860"/>
    <n v="19000"/>
    <m/>
  </r>
  <r>
    <s v="O068"/>
    <d v="2025-03-03T00:00:00"/>
    <s v="Arjun Reddy"/>
    <x v="0"/>
    <s v="RAHUL NAIR"/>
    <s v="Laptop"/>
    <n v="1"/>
    <s v="55000 "/>
    <n v="6"/>
    <s v="Paid"/>
    <n v="51700"/>
    <n v="55000"/>
    <m/>
  </r>
  <r>
    <s v="O069"/>
    <d v="2025-04-07T00:00:00"/>
    <s v="Suman"/>
    <x v="2"/>
    <s v="Neha Sharma"/>
    <s v="Printer"/>
    <n v="2"/>
    <n v="12000"/>
    <n v="3"/>
    <s v="Paid"/>
    <n v="23280"/>
    <n v="24000"/>
    <m/>
  </r>
  <r>
    <s v="O070"/>
    <d v="2025-02-16T00:00:00"/>
    <s v="Jagdish"/>
    <x v="0"/>
    <s v="Anita Joseph"/>
    <s v="Mobile"/>
    <n v="3"/>
    <n v="18000"/>
    <n v="5"/>
    <s v="Paid"/>
    <n v="51300"/>
    <n v="54000"/>
    <m/>
  </r>
  <r>
    <s v="O071"/>
    <d v="2025-03-30T00:00:00"/>
    <s v="Asha"/>
    <x v="1"/>
    <s v="Neha Sharma"/>
    <s v="Desk"/>
    <n v="4"/>
    <n v="9500"/>
    <n v="7"/>
    <s v="Paid"/>
    <n v="35340"/>
    <n v="38000"/>
    <m/>
  </r>
  <r>
    <s v="O072"/>
    <d v="2025-04-11T00:00:00"/>
    <s v="Bhavesh"/>
    <x v="3"/>
    <s v="RAHUL NAIR"/>
    <s v="Mobile"/>
    <n v="5"/>
    <n v="18000"/>
    <n v="6"/>
    <s v="Paid"/>
    <n v="84600"/>
    <n v="90000"/>
    <m/>
  </r>
  <r>
    <s v="O073"/>
    <d v="2025-03-05T00:00:00"/>
    <s v="Manju S"/>
    <x v="2"/>
    <s v="Neha Sharma"/>
    <s v="Laptop"/>
    <n v="2"/>
    <n v="55000"/>
    <n v="5"/>
    <s v="Unpaid"/>
    <n v="0"/>
    <n v="0"/>
    <m/>
  </r>
  <r>
    <s v="O074"/>
    <d v="2025-02-26T00:00:00"/>
    <s v="Ritu"/>
    <x v="0"/>
    <s v="srikanth verma"/>
    <s v="Office Chair"/>
    <n v="1"/>
    <n v="7500"/>
    <n v="3"/>
    <s v="Paid"/>
    <n v="7275"/>
    <n v="7500"/>
    <m/>
  </r>
  <r>
    <s v="O075"/>
    <d v="2025-04-08T00:00:00"/>
    <s v="Kunal"/>
    <x v="1"/>
    <s v="RAHUL NAIR"/>
    <s v="Printer"/>
    <n v="1"/>
    <n v="12000"/>
    <n v="4"/>
    <s v="Paid"/>
    <n v="11520"/>
    <n v="12000"/>
    <m/>
  </r>
  <r>
    <s v="O076"/>
    <d v="2025-03-14T00:00:00"/>
    <s v="Bhavana"/>
    <x v="3"/>
    <s v="Neha Sharma"/>
    <s v="Mobile"/>
    <n v="2"/>
    <n v="18000"/>
    <n v="6"/>
    <s v="Paid"/>
    <n v="33840"/>
    <n v="36000"/>
    <m/>
  </r>
  <r>
    <s v="O077"/>
    <s v="19-Feb-2025  "/>
    <s v="Shweta"/>
    <x v="2"/>
    <s v="Anita Joseph"/>
    <s v="Desk"/>
    <n v="3"/>
    <n v="9500"/>
    <n v="6"/>
    <s v="Paid"/>
    <n v="26790"/>
    <n v="28500"/>
    <m/>
  </r>
  <r>
    <s v="O078"/>
    <d v="2025-04-01T00:00:00"/>
    <s v="Sahil"/>
    <x v="0"/>
    <s v="RAHUL NAIR"/>
    <s v="Printer"/>
    <n v="4"/>
    <n v="12000"/>
    <n v="5"/>
    <s v="Paid"/>
    <n v="45600"/>
    <n v="48000"/>
    <m/>
  </r>
  <r>
    <s v="O079"/>
    <d v="2025-03-24T00:00:00"/>
    <s v="Aditi"/>
    <x v="1"/>
    <s v="Neha Sharma"/>
    <s v="Laptop"/>
    <n v="1"/>
    <n v="55000"/>
    <n v="6"/>
    <s v="Paid"/>
    <n v="51700"/>
    <n v="55000"/>
    <m/>
  </r>
  <r>
    <s v="O080"/>
    <d v="2025-04-29T00:00:00"/>
    <s v="Sunaina"/>
    <x v="3"/>
    <s v="RIYA GUPTA"/>
    <s v="Office Chair"/>
    <n v="2"/>
    <n v="7500"/>
    <n v="5"/>
    <s v="Paid"/>
    <n v="14250"/>
    <n v="15000"/>
    <m/>
  </r>
  <r>
    <s v="O080"/>
    <d v="2025-04-29T00:00:00"/>
    <s v="Sunaina"/>
    <x v="3"/>
    <s v="RIYA GUPTA"/>
    <s v="Office Chair"/>
    <n v="2"/>
    <n v="7500"/>
    <n v="5"/>
    <s v="Paid"/>
    <n v="14250"/>
    <n v="15000"/>
    <m/>
  </r>
  <r>
    <s v="O082"/>
    <d v="2025-04-21T00:00:00"/>
    <s v="Arjun Reddy"/>
    <x v="0"/>
    <s v="Neha Sharma"/>
    <s v="Laptop"/>
    <n v="2"/>
    <n v="55000"/>
    <n v="6"/>
    <s v="Paid"/>
    <n v="103400"/>
    <n v="110000"/>
    <m/>
  </r>
  <r>
    <s v="O083"/>
    <d v="2025-03-06T00:00:00"/>
    <s v="Pooja"/>
    <x v="2"/>
    <s v="RAHUL NAIR"/>
    <s v="Desk"/>
    <n v="1"/>
    <n v="9500"/>
    <n v="3"/>
    <s v="Paid"/>
    <n v="9215"/>
    <n v="9500"/>
    <m/>
  </r>
  <r>
    <s v="O084"/>
    <d v="2025-03-17T00:00:00"/>
    <s v="Shiv"/>
    <x v="1"/>
    <s v="Neha Sharma"/>
    <s v="Printer"/>
    <n v="2"/>
    <n v="12000"/>
    <n v="5"/>
    <s v="Paid"/>
    <n v="22800"/>
    <n v="24000"/>
    <m/>
  </r>
  <r>
    <s v="O085"/>
    <d v="2025-02-12T00:00:00"/>
    <s v="Ananya"/>
    <x v="3"/>
    <s v="RAHUL NAIR"/>
    <s v="Mobile"/>
    <n v="3"/>
    <n v="18000"/>
    <n v="4"/>
    <s v="Paid"/>
    <n v="51840"/>
    <n v="54000"/>
    <m/>
  </r>
  <r>
    <s v="O086"/>
    <d v="2025-02-28T00:00:00"/>
    <s v="Ramesh"/>
    <x v="0"/>
    <s v="Anita Joseph"/>
    <s v="Office Chair"/>
    <n v="2"/>
    <n v="7500"/>
    <n v="4"/>
    <s v="Paid"/>
    <n v="14400"/>
    <n v="15000"/>
    <m/>
  </r>
  <r>
    <s v="O087"/>
    <d v="2025-04-04T00:00:00"/>
    <s v="Pranav"/>
    <x v="2"/>
    <s v="Neha Sharma"/>
    <s v="Laptop"/>
    <n v="3"/>
    <n v="55000"/>
    <n v="5"/>
    <s v="Paid"/>
    <n v="156750"/>
    <n v="165000"/>
    <m/>
  </r>
  <r>
    <s v="O088"/>
    <d v="2025-03-09T00:00:00"/>
    <s v="Deepak"/>
    <x v="3"/>
    <s v="RAHUL NAIR"/>
    <s v="Printer"/>
    <n v="2"/>
    <n v="12000"/>
    <n v="6"/>
    <s v="Paid"/>
    <n v="22560"/>
    <n v="24000"/>
    <m/>
  </r>
  <r>
    <s v="O089"/>
    <d v="2025-03-31T00:00:00"/>
    <s v="Suman"/>
    <x v="1"/>
    <s v="Anita Joseph"/>
    <s v="Mobile"/>
    <n v="4"/>
    <n v="18000"/>
    <n v="8"/>
    <s v="Paid"/>
    <n v="66240"/>
    <n v="72000"/>
    <m/>
  </r>
  <r>
    <s v="O090"/>
    <d v="2025-02-23T00:00:00"/>
    <s v="Ragini"/>
    <x v="0"/>
    <s v="Neha Sharma"/>
    <s v="Desk"/>
    <n v="2"/>
    <n v="9500"/>
    <n v="5"/>
    <s v="Paid"/>
    <n v="18050"/>
    <n v="19000"/>
    <m/>
  </r>
  <r>
    <s v="O091"/>
    <d v="2025-04-02T00:00:00"/>
    <s v="Nikita"/>
    <x v="2"/>
    <s v="RAHUL NAIR"/>
    <s v="Printer"/>
    <n v="3"/>
    <n v="12000"/>
    <n v="5"/>
    <s v="Paid"/>
    <n v="34200"/>
    <n v="36000"/>
    <m/>
  </r>
  <r>
    <s v="O092"/>
    <d v="2025-03-11T00:00:00"/>
    <s v="Santhosh"/>
    <x v="3"/>
    <s v="Neha Sharma"/>
    <s v="Mobile"/>
    <n v="2"/>
    <n v="18000"/>
    <n v="3"/>
    <s v="Paid"/>
    <n v="34920"/>
    <n v="36000"/>
    <m/>
  </r>
  <r>
    <s v="O093"/>
    <d v="2025-02-07T00:00:00"/>
    <s v="Sahil"/>
    <x v="1"/>
    <s v="RAHUL NAIR"/>
    <s v="Laptop"/>
    <n v="4"/>
    <n v="55000"/>
    <n v="7"/>
    <s v="Paid"/>
    <n v="204600"/>
    <n v="220000"/>
    <m/>
  </r>
  <r>
    <s v="O094"/>
    <d v="2025-04-20T00:00:00"/>
    <s v="Meena"/>
    <x v="2"/>
    <s v="Neha Sharma"/>
    <s v="Office Chair"/>
    <n v="3"/>
    <n v="7500"/>
    <n v="6"/>
    <s v="Pending"/>
    <n v="0"/>
    <n v="0"/>
    <m/>
  </r>
  <r>
    <s v="O095"/>
    <d v="2025-03-25T00:00:00"/>
    <s v="Ashok"/>
    <x v="0"/>
    <s v="Anita Joseph"/>
    <s v="Printer"/>
    <n v="2"/>
    <n v="12000"/>
    <n v="5"/>
    <s v="Paid"/>
    <n v="22800"/>
    <n v="24000"/>
    <m/>
  </r>
  <r>
    <s v="O096"/>
    <d v="2025-04-16T00:00:00"/>
    <s v="Arun Kumar"/>
    <x v="2"/>
    <s v="Neha Sharma"/>
    <s v="Laptop"/>
    <n v="7"/>
    <n v="55000"/>
    <n v="1"/>
    <s v="Paid"/>
    <n v="381150"/>
    <n v="385000"/>
    <m/>
  </r>
  <r>
    <s v="O097"/>
    <d v="2025-02-05T00:00:00"/>
    <s v="Bhavya"/>
    <x v="3"/>
    <s v="RAHUL NAIR"/>
    <s v="Mobile"/>
    <n v="2"/>
    <n v="18000"/>
    <n v="5"/>
    <s v="Paid"/>
    <n v="34200"/>
    <n v="36000"/>
    <m/>
  </r>
  <r>
    <s v="O098"/>
    <d v="2025-03-15T00:00:00"/>
    <s v="Vinod"/>
    <x v="0"/>
    <s v="Neha Sharma"/>
    <s v="Desk"/>
    <n v="1"/>
    <n v="9500"/>
    <n v="3"/>
    <s v="Paid"/>
    <n v="9215"/>
    <n v="9500"/>
    <m/>
  </r>
  <r>
    <s v="O099"/>
    <d v="2025-04-18T00:00:00"/>
    <s v="Pratik"/>
    <x v="1"/>
    <s v="Anita Joseph"/>
    <s v="Office Chair"/>
    <n v="4"/>
    <n v="7500"/>
    <n v="4"/>
    <s v="Paid"/>
    <n v="28800"/>
    <n v="30000"/>
    <m/>
  </r>
  <r>
    <s v="O100"/>
    <d v="2025-02-27T00:00:00"/>
    <s v="Ankit"/>
    <x v="2"/>
    <s v="RAHUL NAIR"/>
    <s v="Printer"/>
    <n v="2"/>
    <n v="12000"/>
    <n v="6"/>
    <s v="Paid"/>
    <n v="22560"/>
    <n v="24000"/>
    <m/>
  </r>
  <r>
    <s v="O100"/>
    <d v="2025-02-27T00:00:00"/>
    <s v="Ankit"/>
    <x v="2"/>
    <s v="RAHUL NAIR"/>
    <s v="Printer"/>
    <n v="2"/>
    <n v="12000"/>
    <n v="6"/>
    <s v="Paid"/>
    <n v="22560"/>
    <n v="24000"/>
    <m/>
  </r>
  <r>
    <s v="O101"/>
    <d v="2025-04-08T00:00:00"/>
    <s v="Sahil"/>
    <x v="0"/>
    <s v="Neha Sharma"/>
    <s v="Mobile"/>
    <n v="3"/>
    <n v="18000"/>
    <n v="5"/>
    <s v="Paid"/>
    <n v="51300"/>
    <n v="54000"/>
    <m/>
  </r>
  <r>
    <s v="O102"/>
    <d v="2025-02-22T00:00:00"/>
    <s v="Shalini S"/>
    <x v="3"/>
    <s v="Anita Joseph"/>
    <s v="Desk"/>
    <n v="4"/>
    <n v="9500"/>
    <n v="6"/>
    <s v="Paid"/>
    <n v="35720"/>
    <n v="38000"/>
    <m/>
  </r>
  <r>
    <s v="O103"/>
    <d v="2025-03-01T00:00:00"/>
    <s v="Deepa Menon"/>
    <x v="2"/>
    <s v="Anita Joseph"/>
    <s v="Mobile"/>
    <n v="6"/>
    <n v="18000"/>
    <n v="8"/>
    <s v="Paid"/>
    <n v="99360"/>
    <n v="108000"/>
    <m/>
  </r>
  <r>
    <s v="O104"/>
    <d v="2025-03-04T00:00:00"/>
    <s v="Megha S"/>
    <x v="1"/>
    <s v="RAHUL NAIR"/>
    <s v="Printer"/>
    <n v="2"/>
    <n v="12000"/>
    <n v="5"/>
    <s v="Paid"/>
    <n v="22800"/>
    <n v="24000"/>
    <m/>
  </r>
  <r>
    <s v="O105"/>
    <d v="2025-03-10T00:00:00"/>
    <s v="Naveen"/>
    <x v="0"/>
    <s v="Neha Sharma"/>
    <s v="Office Chair"/>
    <n v="2"/>
    <n v="7500"/>
    <n v="4"/>
    <s v="Paid"/>
    <n v="14400"/>
    <n v="15000"/>
    <m/>
  </r>
  <r>
    <s v="O106"/>
    <d v="2025-02-14T00:00:00"/>
    <s v="Sahil"/>
    <x v="2"/>
    <s v="RAHUL NAIR"/>
    <s v="Laptop"/>
    <n v="5"/>
    <n v="55000"/>
    <n v="7"/>
    <s v="Paid"/>
    <n v="255749.99999999997"/>
    <n v="275000"/>
    <m/>
  </r>
  <r>
    <s v="O107"/>
    <d v="2025-03-30T00:00:00"/>
    <s v="Kumar"/>
    <x v="3"/>
    <s v="Neha Sharma"/>
    <s v="Mobile"/>
    <n v="3"/>
    <n v="18000"/>
    <n v="5"/>
    <s v="Paid"/>
    <n v="51300"/>
    <n v="54000"/>
    <m/>
  </r>
  <r>
    <s v="O108"/>
    <d v="2025-02-26T00:00:00"/>
    <s v="Ramesh K"/>
    <x v="1"/>
    <s v="srikanth verma"/>
    <s v="Laptop"/>
    <n v="1"/>
    <n v="55000"/>
    <n v="0.08"/>
    <s v="Pending"/>
    <n v="0"/>
    <n v="0"/>
    <m/>
  </r>
  <r>
    <s v="O109"/>
    <d v="2025-04-09T00:00:00"/>
    <s v="Tejaswini"/>
    <x v="0"/>
    <s v="Anita Joseph"/>
    <s v="Printer"/>
    <n v="2"/>
    <n v="12000"/>
    <n v="5"/>
    <s v="Paid"/>
    <n v="22800"/>
    <n v="24000"/>
    <m/>
  </r>
  <r>
    <s v="O110"/>
    <d v="2025-02-03T00:00:00"/>
    <s v="Bhavana"/>
    <x v="2"/>
    <s v="RAHUL NAIR"/>
    <s v="Desk"/>
    <n v="2"/>
    <n v="9500"/>
    <n v="4"/>
    <s v="Paid"/>
    <n v="18240"/>
    <n v="19000"/>
    <m/>
  </r>
  <r>
    <s v="O111"/>
    <d v="2025-03-19T00:00:00"/>
    <s v="Neha"/>
    <x v="3"/>
    <s v="Neha Sharma"/>
    <s v="Mobile"/>
    <n v="4"/>
    <n v="18000"/>
    <n v="6"/>
    <s v="Paid"/>
    <n v="67680"/>
    <n v="72000"/>
    <m/>
  </r>
  <r>
    <s v="O112"/>
    <d v="2025-01-04T00:00:00"/>
    <s v="Priya"/>
    <x v="2"/>
    <s v="Neha Sharma"/>
    <s v="Printer"/>
    <n v="3"/>
    <n v="12000"/>
    <n v="5"/>
    <s v="Paid"/>
    <n v="34200"/>
    <n v="36000"/>
    <m/>
  </r>
  <r>
    <s v="O113"/>
    <d v="2025-02-12T00:00:00"/>
    <s v="Arjun Reddy"/>
    <x v="0"/>
    <s v="RAHUL NAIR"/>
    <s v="Desk"/>
    <n v="2"/>
    <n v="9500"/>
    <n v="6"/>
    <s v="Paid"/>
    <n v="17860"/>
    <n v="19000"/>
    <m/>
  </r>
  <r>
    <s v="O114"/>
    <d v="2025-03-24T00:00:00"/>
    <s v="Pradeep"/>
    <x v="1"/>
    <s v="Anita Joseph"/>
    <s v="Laptop"/>
    <n v="2"/>
    <n v="55000"/>
    <n v="5"/>
    <s v="Paid"/>
    <n v="104500"/>
    <n v="110000"/>
    <m/>
  </r>
  <r>
    <s v="O115"/>
    <d v="2025-04-05T00:00:00"/>
    <s v="Asha"/>
    <x v="3"/>
    <s v="Neha Sharma"/>
    <s v="Mobile"/>
    <n v="4"/>
    <n v="18000"/>
    <n v="6"/>
    <s v="Pending"/>
    <n v="0"/>
    <n v="0"/>
    <m/>
  </r>
  <r>
    <s v="O116"/>
    <d v="2025-02-15T00:00:00"/>
    <s v="Maya"/>
    <x v="0"/>
    <s v="RAHUL NAIR"/>
    <s v="Printer"/>
    <n v="3"/>
    <n v="12000"/>
    <n v="4"/>
    <s v="Paid"/>
    <n v="34560"/>
    <n v="36000"/>
    <m/>
  </r>
  <r>
    <s v="O117"/>
    <d v="2025-04-21T00:00:00"/>
    <s v="Neha Sharma"/>
    <x v="2"/>
    <s v="Anita Joseph"/>
    <s v="Desk"/>
    <n v="2"/>
    <n v="9500"/>
    <n v="5"/>
    <s v="Paid"/>
    <n v="18050"/>
    <n v="19000"/>
    <m/>
  </r>
  <r>
    <s v="O118"/>
    <d v="2025-03-02T00:00:00"/>
    <s v="Dinesh"/>
    <x v="1"/>
    <s v="Neha Sharma"/>
    <s v="Office Chair"/>
    <n v="1"/>
    <n v="7500"/>
    <n v="6"/>
    <s v="Paid"/>
    <n v="7050"/>
    <n v="7500"/>
    <m/>
  </r>
  <r>
    <s v="O119"/>
    <d v="2025-04-07T00:00:00"/>
    <s v="Suresh"/>
    <x v="3"/>
    <s v="RAHUL NAIR"/>
    <s v="Mobile"/>
    <n v="5"/>
    <n v="18000"/>
    <n v="7"/>
    <s v="Pending"/>
    <n v="0"/>
    <n v="0"/>
    <m/>
  </r>
  <r>
    <s v="O120"/>
    <d v="2025-02-16T00:00:00"/>
    <s v="Ramesh"/>
    <x v="0"/>
    <s v="Neha Sharma"/>
    <s v="Printer"/>
    <n v="3"/>
    <n v="12000"/>
    <n v="6"/>
    <s v="Paid"/>
    <n v="33840"/>
    <n v="36000"/>
    <m/>
  </r>
  <r>
    <s v="O121"/>
    <d v="2025-03-11T00:00:00"/>
    <s v="Aditi"/>
    <x v="2"/>
    <s v="RAHUL NAIR"/>
    <s v="Laptop"/>
    <n v="1"/>
    <n v="55000"/>
    <n v="5"/>
    <s v="Paid"/>
    <n v="52250"/>
    <n v="55000"/>
    <m/>
  </r>
  <r>
    <s v="O122"/>
    <s v="22-Feb-2025 "/>
    <s v="NoteDate"/>
    <x v="0"/>
    <s v="Neha Sharma"/>
    <s v="Mobile"/>
    <n v="2"/>
    <n v="18000"/>
    <n v="4"/>
    <s v="Paid"/>
    <n v="34560"/>
    <n v="36000"/>
    <m/>
  </r>
  <r>
    <s v="O123"/>
    <d v="2025-04-02T00:00:00"/>
    <s v="Pranav"/>
    <x v="1"/>
    <s v="Anita Joseph"/>
    <s v="Desk"/>
    <n v="3"/>
    <n v="9500"/>
    <n v="6"/>
    <s v="Paid"/>
    <n v="26790"/>
    <n v="28500"/>
    <m/>
  </r>
  <r>
    <s v="O124"/>
    <d v="2025-03-08T00:00:00"/>
    <s v="Gita"/>
    <x v="2"/>
    <s v="RAHUL NAIR"/>
    <s v="Printer"/>
    <n v="2"/>
    <n v="12000"/>
    <n v="5"/>
    <s v="Paid"/>
    <n v="22800"/>
    <n v="24000"/>
    <m/>
  </r>
  <r>
    <s v="O125"/>
    <d v="2025-02-17T00:00:00"/>
    <s v="Sahil"/>
    <x v="3"/>
    <s v="Neha Sharma"/>
    <s v="Mobile"/>
    <n v="6"/>
    <n v="18000"/>
    <n v="8"/>
    <s v="Paid"/>
    <n v="99360"/>
    <n v="108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s v="O001"/>
    <d v="2025-04-23T00:00:00"/>
    <s v="Megha S"/>
    <s v="South"/>
    <s v="Neha Sharma"/>
    <x v="0"/>
    <x v="0"/>
    <n v="12000"/>
    <n v="5"/>
    <s v="Paid"/>
    <n v="22800"/>
    <n v="24000"/>
    <x v="0"/>
  </r>
  <r>
    <s v="O002"/>
    <d v="2025-04-28T00:00:00"/>
    <s v="Naveen"/>
    <s v="South"/>
    <s v="RIYA GUPTA"/>
    <x v="1"/>
    <x v="0"/>
    <n v="7500"/>
    <n v="6"/>
    <s v="Paid"/>
    <n v="14100"/>
    <n v="15000"/>
    <x v="0"/>
  </r>
  <r>
    <s v="O003"/>
    <d v="2025-03-07T00:00:00"/>
    <s v="Sahil"/>
    <s v="North"/>
    <s v="srikanth verma"/>
    <x v="2"/>
    <x v="1"/>
    <n v="18000"/>
    <n v="8"/>
    <s v="Pending"/>
    <n v="0"/>
    <n v="0"/>
    <x v="1"/>
  </r>
  <r>
    <s v="O004"/>
    <d v="2025-02-14T00:00:00"/>
    <s v="Maya"/>
    <s v="West"/>
    <s v="Neha Sharma"/>
    <x v="2"/>
    <x v="1"/>
    <n v="18000"/>
    <n v="8"/>
    <s v="Pending"/>
    <n v="0"/>
    <n v="0"/>
    <x v="2"/>
  </r>
  <r>
    <s v="O005"/>
    <d v="2025-02-20T00:00:00"/>
    <s v="Ramesh K"/>
    <s v="North"/>
    <s v="srikanth verma"/>
    <x v="3"/>
    <x v="2"/>
    <n v="55000"/>
    <n v="0.08"/>
    <s v="Pending"/>
    <n v="0"/>
    <n v="0"/>
    <x v="2"/>
  </r>
  <r>
    <s v="O006"/>
    <d v="2025-03-03T00:00:00"/>
    <s v="Arjun Reddy"/>
    <s v="East"/>
    <s v="Anita Joseph"/>
    <x v="3"/>
    <x v="0"/>
    <n v="55000"/>
    <n v="6"/>
    <s v="Paid"/>
    <n v="103400"/>
    <n v="110000"/>
    <x v="1"/>
  </r>
  <r>
    <s v="O007"/>
    <d v="2025-04-11T00:00:00"/>
    <s v="Priya"/>
    <s v="West"/>
    <s v="RAHUL NAIR"/>
    <x v="0"/>
    <x v="3"/>
    <n v="12000"/>
    <n v="5"/>
    <s v="Paid"/>
    <n v="34200"/>
    <n v="36000"/>
    <x v="0"/>
  </r>
  <r>
    <s v="O008"/>
    <d v="2025-03-19T00:00:00"/>
    <s v="Deepa Menon"/>
    <s v="South"/>
    <s v="Neha Sharma"/>
    <x v="2"/>
    <x v="4"/>
    <n v="18000"/>
    <n v="7"/>
    <s v="Paid"/>
    <n v="66960"/>
    <n v="72000"/>
    <x v="1"/>
  </r>
  <r>
    <s v="O009"/>
    <d v="2025-02-25T00:00:00"/>
    <s v="Manju S"/>
    <s v="East"/>
    <m/>
    <x v="3"/>
    <x v="3"/>
    <n v="55000"/>
    <n v="5"/>
    <s v="Unpaid"/>
    <n v="0"/>
    <n v="0"/>
    <x v="2"/>
  </r>
  <r>
    <s v="O010"/>
    <d v="2025-02-07T00:00:00"/>
    <s v="Anita Joseph"/>
    <s v="South"/>
    <s v="Anita Joseph"/>
    <x v="1"/>
    <x v="0"/>
    <n v="7500"/>
    <n v="8"/>
    <s v="Paid"/>
    <n v="13800"/>
    <n v="15000"/>
    <x v="2"/>
  </r>
  <r>
    <s v="O011"/>
    <d v="2025-04-03T00:00:00"/>
    <s v="Kamal"/>
    <s v="North"/>
    <s v="Neha Sharma"/>
    <x v="4"/>
    <x v="2"/>
    <n v="9500"/>
    <n v="3"/>
    <s v="Paid"/>
    <n v="9215"/>
    <n v="9500"/>
    <x v="0"/>
  </r>
  <r>
    <s v="O012"/>
    <d v="2025-02-17T00:00:00"/>
    <s v="Sunil"/>
    <s v="West"/>
    <s v="RAHUL NAIR"/>
    <x v="0"/>
    <x v="2"/>
    <n v="12000"/>
    <n v="4"/>
    <s v="Paid"/>
    <n v="11520"/>
    <n v="12000"/>
    <x v="2"/>
  </r>
  <r>
    <s v="O013"/>
    <d v="2025-03-02T00:00:00"/>
    <s v="Aditya"/>
    <s v="East"/>
    <s v="Neha Sharma"/>
    <x v="2"/>
    <x v="1"/>
    <n v="18000"/>
    <n v="8"/>
    <s v="Paid"/>
    <n v="99360"/>
    <n v="108000"/>
    <x v="1"/>
  </r>
  <r>
    <s v="O014"/>
    <d v="2025-04-13T00:00:00"/>
    <s v="Priya"/>
    <s v="West"/>
    <s v="Neha Sharma"/>
    <x v="2"/>
    <x v="5"/>
    <n v="18000"/>
    <n v="0"/>
    <s v="Paid"/>
    <n v="90000"/>
    <n v="90000"/>
    <x v="0"/>
  </r>
  <r>
    <s v="O015"/>
    <d v="2025-03-08T00:00:00"/>
    <s v="Suresh"/>
    <s v="South"/>
    <s v="RAHUL NAIR"/>
    <x v="3"/>
    <x v="2"/>
    <n v="55000"/>
    <n v="7"/>
    <s v="Paid"/>
    <n v="51150"/>
    <n v="55000"/>
    <x v="1"/>
  </r>
  <r>
    <s v="O016"/>
    <d v="2025-02-21T00:00:00"/>
    <s v="Ritu"/>
    <s v="North"/>
    <s v="RIYA GUPTA"/>
    <x v="1"/>
    <x v="3"/>
    <n v="7500"/>
    <n v="5"/>
    <s v="Paid"/>
    <n v="21375"/>
    <n v="22500"/>
    <x v="2"/>
  </r>
  <r>
    <s v="O017"/>
    <d v="2025-03-29T00:00:00"/>
    <s v="Kishore"/>
    <s v="East"/>
    <s v="srikanth verma"/>
    <x v="4"/>
    <x v="0"/>
    <n v="9500"/>
    <n v="6"/>
    <s v="Paid"/>
    <n v="17860"/>
    <n v="19000"/>
    <x v="1"/>
  </r>
  <r>
    <s v="O018"/>
    <d v="2025-04-02T00:00:00"/>
    <s v="Arun Kumar"/>
    <s v="West"/>
    <s v="Neha Sharma"/>
    <x v="3"/>
    <x v="6"/>
    <n v="55000"/>
    <n v="1"/>
    <s v="Unpaid"/>
    <n v="0"/>
    <n v="0"/>
    <x v="0"/>
  </r>
  <r>
    <s v="O019"/>
    <d v="2025-03-05T00:00:00"/>
    <s v="Tanvi"/>
    <s v="South"/>
    <s v="Anita Joseph"/>
    <x v="0"/>
    <x v="0"/>
    <n v="12000"/>
    <n v="5"/>
    <s v="Paid"/>
    <n v="22800"/>
    <n v="24000"/>
    <x v="1"/>
  </r>
  <r>
    <s v="O020"/>
    <d v="2025-04-12T00:00:00"/>
    <s v="Gita"/>
    <s v="North"/>
    <s v="RAHUL NAIR"/>
    <x v="2"/>
    <x v="4"/>
    <n v="18000"/>
    <n v="8"/>
    <s v="Paid"/>
    <n v="66240"/>
    <n v="72000"/>
    <x v="0"/>
  </r>
  <r>
    <s v="O021"/>
    <d v="2025-02-24T00:00:00"/>
    <s v="Neetu"/>
    <s v="South"/>
    <s v="Neha Sharma"/>
    <x v="4"/>
    <x v="3"/>
    <n v="9500"/>
    <n v="6"/>
    <s v="Paid"/>
    <n v="26790"/>
    <n v="28500"/>
    <x v="2"/>
  </r>
  <r>
    <s v="O022"/>
    <d v="2025-03-09T00:00:00"/>
    <s v="Rohit"/>
    <s v="West"/>
    <s v="RIYA GUPTA"/>
    <x v="1"/>
    <x v="4"/>
    <n v="7500"/>
    <n v="4"/>
    <s v="Pending"/>
    <n v="0"/>
    <n v="0"/>
    <x v="1"/>
  </r>
  <r>
    <s v="O023"/>
    <d v="2025-04-15T00:00:00"/>
    <s v="Kiran"/>
    <s v="East"/>
    <s v="Neha Sharma"/>
    <x v="0"/>
    <x v="0"/>
    <n v="12000"/>
    <n v="5"/>
    <s v="Paid"/>
    <n v="22800"/>
    <n v="24000"/>
    <x v="0"/>
  </r>
  <r>
    <s v="O024"/>
    <d v="2025-02-18T00:00:00"/>
    <s v="Dinesh"/>
    <s v="South"/>
    <s v="Anita Joseph"/>
    <x v="2"/>
    <x v="3"/>
    <n v="18000"/>
    <n v="6"/>
    <s v="Paid"/>
    <n v="50760"/>
    <n v="54000"/>
    <x v="2"/>
  </r>
  <r>
    <s v="O025"/>
    <d v="2025-04-20T00:00:00"/>
    <s v="Sakshi"/>
    <s v="North"/>
    <s v="RAHUL NAIR"/>
    <x v="4"/>
    <x v="5"/>
    <n v="9500"/>
    <n v="2"/>
    <s v="Unpaid"/>
    <n v="0"/>
    <n v="0"/>
    <x v="0"/>
  </r>
  <r>
    <s v="O026"/>
    <d v="2025-03-01T00:00:00"/>
    <s v="Vagdevi"/>
    <s v="West"/>
    <s v="Neha Sharma"/>
    <x v="3"/>
    <x v="2"/>
    <n v="55000"/>
    <n v="5"/>
    <s v="Paid"/>
    <n v="52250"/>
    <n v="55000"/>
    <x v="1"/>
  </r>
  <r>
    <s v="O027"/>
    <d v="2025-02-11T00:00:00"/>
    <s v="Mahesh"/>
    <s v="East"/>
    <s v="srikanth verma"/>
    <x v="4"/>
    <x v="0"/>
    <n v="9500"/>
    <n v="6"/>
    <s v="Paid"/>
    <n v="17860"/>
    <n v="19000"/>
    <x v="2"/>
  </r>
  <r>
    <s v="O028"/>
    <d v="2025-04-04T00:00:00"/>
    <s v="Shalini S"/>
    <s v="South"/>
    <s v="Anita Joseph"/>
    <x v="0"/>
    <x v="3"/>
    <n v="12000"/>
    <n v="5"/>
    <s v="Paid"/>
    <n v="34200"/>
    <n v="36000"/>
    <x v="0"/>
  </r>
  <r>
    <s v="O029"/>
    <d v="2025-03-14T00:00:00"/>
    <s v="Neha"/>
    <s v="North"/>
    <s v="RAHUL NAIR"/>
    <x v="2"/>
    <x v="6"/>
    <n v="18000"/>
    <n v="4"/>
    <s v="Paid"/>
    <n v="120960"/>
    <n v="126000"/>
    <x v="1"/>
  </r>
  <r>
    <s v="O030"/>
    <d v="2025-02-27T00:00:00"/>
    <s v="Bhavana"/>
    <s v="West"/>
    <s v="Neha Sharma"/>
    <x v="1"/>
    <x v="0"/>
    <n v="7500"/>
    <n v="6"/>
    <s v="Paid"/>
    <n v="14100"/>
    <n v="15000"/>
    <x v="2"/>
  </r>
  <r>
    <s v="O031"/>
    <d v="2025-03-30T00:00:00"/>
    <s v="Ramesh"/>
    <s v="South"/>
    <s v="RAHUL NAIR"/>
    <x v="3"/>
    <x v="0"/>
    <n v="55000"/>
    <n v="6"/>
    <s v="Paid"/>
    <n v="103400"/>
    <n v="110000"/>
    <x v="1"/>
  </r>
  <r>
    <s v="O032"/>
    <d v="2025-02-06T00:00:00"/>
    <s v="Arun K"/>
    <s v="East"/>
    <s v="RIYA GUPTA"/>
    <x v="0"/>
    <x v="2"/>
    <n v="12000"/>
    <n v="3"/>
    <s v="Paid"/>
    <n v="11640"/>
    <n v="12000"/>
    <x v="2"/>
  </r>
  <r>
    <s v="O033"/>
    <d v="2025-03-22T00:00:00"/>
    <s v="Sameer"/>
    <s v="West"/>
    <s v="Neha Sharma"/>
    <x v="2"/>
    <x v="3"/>
    <n v="18000"/>
    <n v="5"/>
    <s v="Paid"/>
    <n v="51300"/>
    <n v="54000"/>
    <x v="1"/>
  </r>
  <r>
    <s v="O034"/>
    <d v="2025-04-10T00:00:00"/>
    <s v="Asha"/>
    <s v="South"/>
    <s v="Anita Joseph"/>
    <x v="4"/>
    <x v="4"/>
    <n v="9500"/>
    <n v="7"/>
    <s v="Pending"/>
    <n v="0"/>
    <n v="0"/>
    <x v="0"/>
  </r>
  <r>
    <s v="O035"/>
    <d v="2025-03-16T00:00:00"/>
    <s v="Veena Varma"/>
    <s v="North"/>
    <s v="Neha Sharma"/>
    <x v="0"/>
    <x v="0"/>
    <n v="12000"/>
    <n v="6"/>
    <s v="Paid"/>
    <n v="22560"/>
    <n v="24000"/>
    <x v="1"/>
  </r>
  <r>
    <s v="O036"/>
    <d v="2025-04-05T00:00:00"/>
    <s v="Sunita"/>
    <s v="East"/>
    <s v="RAHUL NAIR"/>
    <x v="2"/>
    <x v="3"/>
    <n v="18000"/>
    <n v="5"/>
    <s v="Paid"/>
    <n v="51300"/>
    <n v="54000"/>
    <x v="0"/>
  </r>
  <r>
    <s v="O037"/>
    <d v="2025-02-26T00:00:00"/>
    <s v="Prakash"/>
    <s v="South"/>
    <s v="Neha Sharma"/>
    <x v="3"/>
    <x v="0"/>
    <n v="55000"/>
    <n v="7"/>
    <s v="Paid"/>
    <n v="102300"/>
    <n v="110000"/>
    <x v="2"/>
  </r>
  <r>
    <s v="O038"/>
    <d v="2025-03-08T00:00:00"/>
    <s v="Kavita"/>
    <s v="West"/>
    <s v="Anita Joseph"/>
    <x v="1"/>
    <x v="2"/>
    <n v="7500"/>
    <n v="4"/>
    <s v="Paid"/>
    <n v="7200"/>
    <n v="7500"/>
    <x v="1"/>
  </r>
  <r>
    <s v="O039"/>
    <d v="2025-02-17T00:00:00"/>
    <s v="Ram"/>
    <s v="North"/>
    <s v="RIYA GUPTA"/>
    <x v="4"/>
    <x v="0"/>
    <n v="9500"/>
    <n v="3"/>
    <s v="Pending"/>
    <n v="0"/>
    <n v="0"/>
    <x v="2"/>
  </r>
  <r>
    <s v="O040"/>
    <d v="2025-04-01T00:00:00"/>
    <s v="Anil"/>
    <s v="South"/>
    <s v="Neha Sharma"/>
    <x v="2"/>
    <x v="4"/>
    <n v="18000"/>
    <n v="8"/>
    <s v="Paid"/>
    <n v="66240"/>
    <n v="72000"/>
    <x v="0"/>
  </r>
  <r>
    <s v="O041"/>
    <d v="2025-02-11T00:00:00"/>
    <s v="Maya"/>
    <s v="West"/>
    <s v="RAHUL NAIR"/>
    <x v="0"/>
    <x v="3"/>
    <n v="12000"/>
    <n v="5"/>
    <s v="Paid"/>
    <n v="34200"/>
    <n v="36000"/>
    <x v="2"/>
  </r>
  <r>
    <s v="O042"/>
    <d v="2025-03-03T00:00:00"/>
    <s v="Jaya"/>
    <s v="East"/>
    <s v="Neha Sharma"/>
    <x v="2"/>
    <x v="5"/>
    <n v="18000"/>
    <n v="6"/>
    <s v="Unpaid"/>
    <n v="0"/>
    <n v="0"/>
    <x v="1"/>
  </r>
  <r>
    <s v="O043"/>
    <d v="2025-03-29T00:00:00"/>
    <s v="Anita"/>
    <s v="North"/>
    <s v="srikanth verma"/>
    <x v="3"/>
    <x v="0"/>
    <n v="55000"/>
    <n v="5"/>
    <s v="Paid"/>
    <n v="104500"/>
    <n v="110000"/>
    <x v="1"/>
  </r>
  <r>
    <s v="O044"/>
    <d v="2025-04-06T00:00:00"/>
    <s v="Praveen"/>
    <s v="South"/>
    <s v="Anita Joseph"/>
    <x v="1"/>
    <x v="0"/>
    <n v="7500"/>
    <n v="6"/>
    <s v="Paid"/>
    <n v="14100"/>
    <n v="15000"/>
    <x v="0"/>
  </r>
  <r>
    <s v="O045"/>
    <d v="2025-02-23T00:00:00"/>
    <s v="Nikita"/>
    <s v="West"/>
    <s v="RAHUL NAIR"/>
    <x v="2"/>
    <x v="4"/>
    <n v="18000"/>
    <n v="8"/>
    <s v="Paid"/>
    <n v="66240"/>
    <n v="72000"/>
    <x v="2"/>
  </r>
  <r>
    <s v="O046"/>
    <d v="2025-03-31T00:00:00"/>
    <s v="Kavya"/>
    <s v="East"/>
    <s v="Neha Sharma"/>
    <x v="0"/>
    <x v="0"/>
    <n v="12000"/>
    <n v="5"/>
    <s v="Paid"/>
    <n v="22800"/>
    <n v="24000"/>
    <x v="1"/>
  </r>
  <r>
    <s v="O047"/>
    <d v="2025-02-14T00:00:00"/>
    <s v="Sahil"/>
    <s v="North"/>
    <s v="RAHUL NAIR"/>
    <x v="3"/>
    <x v="5"/>
    <n v="55000"/>
    <n v="7"/>
    <s v="Paid"/>
    <n v="255749.99999999997"/>
    <n v="275000"/>
    <x v="2"/>
  </r>
  <r>
    <s v="O048"/>
    <d v="2025-02-28T00:00:00"/>
    <s v="Meena"/>
    <s v="South"/>
    <s v="RIYA GUPTA"/>
    <x v="4"/>
    <x v="3"/>
    <n v="9500"/>
    <n v="4"/>
    <s v="Paid"/>
    <n v="27360"/>
    <n v="28500"/>
    <x v="2"/>
  </r>
  <r>
    <s v="O049"/>
    <d v="2025-03-21T00:00:00"/>
    <s v="Sandhya"/>
    <s v="West"/>
    <s v="Neha Sharma"/>
    <x v="2"/>
    <x v="1"/>
    <n v="18000"/>
    <n v="5"/>
    <s v="Paid"/>
    <n v="102600"/>
    <n v="108000"/>
    <x v="1"/>
  </r>
  <r>
    <s v="O050"/>
    <d v="2025-03-05T00:00:00"/>
    <s v="Suman"/>
    <s v="East"/>
    <s v="Anita Joseph"/>
    <x v="3"/>
    <x v="2"/>
    <n v="55000"/>
    <n v="6"/>
    <s v="Paid"/>
    <n v="51700"/>
    <n v="55000"/>
    <x v="1"/>
  </r>
  <r>
    <s v="O051"/>
    <d v="2025-04-12T00:00:00"/>
    <s v="Naveen"/>
    <s v="South"/>
    <s v="Neha Sharma"/>
    <x v="2"/>
    <x v="5"/>
    <n v="18000"/>
    <n v="3"/>
    <s v="Paid"/>
    <n v="87300"/>
    <n v="90000"/>
    <x v="0"/>
  </r>
  <r>
    <s v="O052"/>
    <d v="2025-04-25T00:00:00"/>
    <s v="Prashant"/>
    <s v="West"/>
    <s v="RAHUL NAIR"/>
    <x v="0"/>
    <x v="2"/>
    <n v="12000"/>
    <n v="5"/>
    <s v="Paid"/>
    <n v="11400"/>
    <n v="12000"/>
    <x v="0"/>
  </r>
  <r>
    <s v="O053"/>
    <d v="2025-02-08T00:00:00"/>
    <s v="Deepa Menon"/>
    <s v="East"/>
    <s v="Anita Joseph"/>
    <x v="2"/>
    <x v="1"/>
    <n v="18000"/>
    <n v="8"/>
    <s v="Paid"/>
    <n v="99360"/>
    <n v="108000"/>
    <x v="2"/>
  </r>
  <r>
    <s v="O054"/>
    <d v="2025-03-19T00:00:00"/>
    <s v="Kumar"/>
    <s v="South"/>
    <s v="Neha Sharma"/>
    <x v="4"/>
    <x v="0"/>
    <n v="9500"/>
    <n v="6"/>
    <s v="Paid"/>
    <n v="17860"/>
    <n v="19000"/>
    <x v="1"/>
  </r>
  <r>
    <s v="O055"/>
    <d v="2025-03-02T00:00:00"/>
    <s v="Lakshmi"/>
    <s v="West"/>
    <s v="RIYA GUPTA"/>
    <x v="1"/>
    <x v="1"/>
    <n v="7500"/>
    <n v="5"/>
    <s v="Pending"/>
    <n v="0"/>
    <n v="0"/>
    <x v="1"/>
  </r>
  <r>
    <s v="O056"/>
    <d v="2025-04-09T00:00:00"/>
    <s v="Neha Sharma"/>
    <s v="North"/>
    <s v="RAHUL NAIR"/>
    <x v="2"/>
    <x v="4"/>
    <n v="18000"/>
    <n v="6"/>
    <s v="Paid"/>
    <n v="67680"/>
    <n v="72000"/>
    <x v="0"/>
  </r>
  <r>
    <s v="O057"/>
    <d v="2025-02-17T00:00:00"/>
    <s v="Suresh"/>
    <s v="South"/>
    <s v="Neha Sharma"/>
    <x v="0"/>
    <x v="0"/>
    <n v="12000"/>
    <n v="4"/>
    <s v="Paid"/>
    <n v="23040"/>
    <n v="24000"/>
    <x v="2"/>
  </r>
  <r>
    <s v="O058"/>
    <d v="2025-02-20T00:00:00"/>
    <s v="Sunil"/>
    <s v="West"/>
    <s v="Anita Joseph"/>
    <x v="3"/>
    <x v="3"/>
    <n v="55000"/>
    <n v="6"/>
    <s v="Paid"/>
    <n v="155100"/>
    <n v="165000"/>
    <x v="2"/>
  </r>
  <r>
    <s v="O059"/>
    <d v="2025-03-24T00:00:00"/>
    <s v="Vikram"/>
    <s v="East"/>
    <s v="RAHUL NAIR"/>
    <x v="4"/>
    <x v="2"/>
    <n v="9500"/>
    <n v="3"/>
    <s v="Paid"/>
    <n v="9215"/>
    <n v="9500"/>
    <x v="1"/>
  </r>
  <r>
    <s v="O060"/>
    <d v="2025-02-13T00:00:00"/>
    <s v="Kamal"/>
    <s v="South"/>
    <s v="Neha Sharma"/>
    <x v="2"/>
    <x v="0"/>
    <n v="18000"/>
    <n v="5"/>
    <s v="Paid"/>
    <n v="34200"/>
    <n v="36000"/>
    <x v="2"/>
  </r>
  <r>
    <s v="O061"/>
    <d v="2025-04-02T00:00:00"/>
    <s v="Rohit"/>
    <s v="North"/>
    <s v="Anita Joseph"/>
    <x v="0"/>
    <x v="3"/>
    <n v="12000"/>
    <n v="5"/>
    <s v="Paid"/>
    <n v="34200"/>
    <n v="36000"/>
    <x v="0"/>
  </r>
  <r>
    <s v="O062"/>
    <d v="2025-04-15T00:00:00"/>
    <s v="Priyanka"/>
    <s v="West"/>
    <s v="RAHUL NAIR"/>
    <x v="3"/>
    <x v="2"/>
    <n v="55000"/>
    <n v="6"/>
    <s v="Paid"/>
    <n v="51700"/>
    <n v="55000"/>
    <x v="0"/>
  </r>
  <r>
    <s v="O063"/>
    <d v="2025-02-27T00:00:00"/>
    <s v="Gaurav"/>
    <s v="East"/>
    <s v="Neha Sharma"/>
    <x v="2"/>
    <x v="0"/>
    <n v="18000"/>
    <n v="4"/>
    <s v="Paid"/>
    <n v="34560"/>
    <n v="36000"/>
    <x v="2"/>
  </r>
  <r>
    <s v="O064"/>
    <d v="2025-03-10T00:00:00"/>
    <s v="Rekha"/>
    <s v="South"/>
    <s v="RAHUL NAIR"/>
    <x v="1"/>
    <x v="3"/>
    <n v="7500"/>
    <n v="5"/>
    <s v="Pending"/>
    <n v="0"/>
    <n v="0"/>
    <x v="1"/>
  </r>
  <r>
    <s v="O065"/>
    <d v="2025-04-18T00:00:00"/>
    <s v="Sahil"/>
    <s v="North"/>
    <s v="Neha Sharma"/>
    <x v="0"/>
    <x v="4"/>
    <n v="12000"/>
    <n v="7"/>
    <s v="Paid"/>
    <n v="44640"/>
    <n v="48000"/>
    <x v="0"/>
  </r>
  <r>
    <s v="O066"/>
    <d v="2025-04-04T00:00:00"/>
    <s v="Megha"/>
    <s v="West"/>
    <s v="Anita Joseph"/>
    <x v="2"/>
    <x v="1"/>
    <n v="18000"/>
    <n v="8"/>
    <s v="Pending"/>
    <n v="0"/>
    <n v="0"/>
    <x v="0"/>
  </r>
  <r>
    <s v="O067"/>
    <d v="2025-02-22T00:00:00"/>
    <s v="Kishore"/>
    <s v="East"/>
    <s v="RIYA GUPTA"/>
    <x v="4"/>
    <x v="0"/>
    <n v="9500"/>
    <n v="6"/>
    <s v="Paid"/>
    <n v="17860"/>
    <n v="19000"/>
    <x v="2"/>
  </r>
  <r>
    <s v="O068"/>
    <d v="2025-03-03T00:00:00"/>
    <s v="Arjun Reddy"/>
    <s v="South"/>
    <s v="RAHUL NAIR"/>
    <x v="3"/>
    <x v="2"/>
    <s v="55000 "/>
    <n v="6"/>
    <s v="Paid"/>
    <n v="51700"/>
    <n v="55000"/>
    <x v="1"/>
  </r>
  <r>
    <s v="O069"/>
    <d v="2025-04-07T00:00:00"/>
    <s v="Suman"/>
    <s v="West"/>
    <s v="Neha Sharma"/>
    <x v="0"/>
    <x v="0"/>
    <n v="12000"/>
    <n v="3"/>
    <s v="Paid"/>
    <n v="23280"/>
    <n v="24000"/>
    <x v="0"/>
  </r>
  <r>
    <s v="O070"/>
    <d v="2025-02-16T00:00:00"/>
    <s v="Jagdish"/>
    <s v="South"/>
    <s v="Anita Joseph"/>
    <x v="2"/>
    <x v="3"/>
    <n v="18000"/>
    <n v="5"/>
    <s v="Paid"/>
    <n v="51300"/>
    <n v="54000"/>
    <x v="2"/>
  </r>
  <r>
    <s v="O071"/>
    <d v="2025-03-30T00:00:00"/>
    <s v="Asha"/>
    <s v="North"/>
    <s v="Neha Sharma"/>
    <x v="4"/>
    <x v="4"/>
    <n v="9500"/>
    <n v="7"/>
    <s v="Paid"/>
    <n v="35340"/>
    <n v="38000"/>
    <x v="1"/>
  </r>
  <r>
    <s v="O072"/>
    <d v="2025-04-11T00:00:00"/>
    <s v="Bhavesh"/>
    <s v="East"/>
    <s v="RAHUL NAIR"/>
    <x v="2"/>
    <x v="5"/>
    <n v="18000"/>
    <n v="6"/>
    <s v="Paid"/>
    <n v="84600"/>
    <n v="90000"/>
    <x v="0"/>
  </r>
  <r>
    <s v="O073"/>
    <d v="2025-03-05T00:00:00"/>
    <s v="Manju S"/>
    <s v="West"/>
    <s v="Neha Sharma"/>
    <x v="3"/>
    <x v="0"/>
    <n v="55000"/>
    <n v="5"/>
    <s v="Unpaid"/>
    <n v="0"/>
    <n v="0"/>
    <x v="1"/>
  </r>
  <r>
    <s v="O074"/>
    <d v="2025-02-26T00:00:00"/>
    <s v="Ritu"/>
    <s v="South"/>
    <s v="srikanth verma"/>
    <x v="1"/>
    <x v="2"/>
    <n v="7500"/>
    <n v="3"/>
    <s v="Paid"/>
    <n v="7275"/>
    <n v="7500"/>
    <x v="2"/>
  </r>
  <r>
    <s v="O075"/>
    <d v="2025-04-08T00:00:00"/>
    <s v="Kunal"/>
    <s v="North"/>
    <s v="RAHUL NAIR"/>
    <x v="0"/>
    <x v="2"/>
    <n v="12000"/>
    <n v="4"/>
    <s v="Paid"/>
    <n v="11520"/>
    <n v="12000"/>
    <x v="0"/>
  </r>
  <r>
    <s v="O076"/>
    <d v="2025-03-14T00:00:00"/>
    <s v="Bhavana"/>
    <s v="East"/>
    <s v="Neha Sharma"/>
    <x v="2"/>
    <x v="0"/>
    <n v="18000"/>
    <n v="6"/>
    <s v="Paid"/>
    <n v="33840"/>
    <n v="36000"/>
    <x v="1"/>
  </r>
  <r>
    <s v="O077"/>
    <s v="19-Feb-2025  "/>
    <s v="Shweta"/>
    <s v="West"/>
    <s v="Anita Joseph"/>
    <x v="4"/>
    <x v="3"/>
    <n v="9500"/>
    <n v="6"/>
    <s v="Paid"/>
    <n v="26790"/>
    <n v="28500"/>
    <x v="2"/>
  </r>
  <r>
    <s v="O078"/>
    <d v="2025-04-01T00:00:00"/>
    <s v="Sahil"/>
    <s v="South"/>
    <s v="RAHUL NAIR"/>
    <x v="0"/>
    <x v="4"/>
    <n v="12000"/>
    <n v="5"/>
    <s v="Paid"/>
    <n v="45600"/>
    <n v="48000"/>
    <x v="0"/>
  </r>
  <r>
    <s v="O079"/>
    <d v="2025-03-24T00:00:00"/>
    <s v="Aditi"/>
    <s v="North"/>
    <s v="Neha Sharma"/>
    <x v="3"/>
    <x v="2"/>
    <n v="55000"/>
    <n v="6"/>
    <s v="Paid"/>
    <n v="51700"/>
    <n v="55000"/>
    <x v="1"/>
  </r>
  <r>
    <s v="O080"/>
    <d v="2025-04-29T00:00:00"/>
    <s v="Sunaina"/>
    <s v="East"/>
    <s v="RIYA GUPTA"/>
    <x v="1"/>
    <x v="0"/>
    <n v="7500"/>
    <n v="5"/>
    <s v="Paid"/>
    <n v="14250"/>
    <n v="15000"/>
    <x v="0"/>
  </r>
  <r>
    <s v="O080"/>
    <d v="2025-04-29T00:00:00"/>
    <s v="Sunaina"/>
    <s v="East"/>
    <s v="RIYA GUPTA"/>
    <x v="1"/>
    <x v="0"/>
    <n v="7500"/>
    <n v="5"/>
    <s v="Paid"/>
    <n v="14250"/>
    <n v="15000"/>
    <x v="0"/>
  </r>
  <r>
    <s v="O082"/>
    <d v="2025-04-21T00:00:00"/>
    <s v="Arjun Reddy"/>
    <s v="South"/>
    <s v="Neha Sharma"/>
    <x v="3"/>
    <x v="0"/>
    <n v="55000"/>
    <n v="6"/>
    <s v="Paid"/>
    <n v="103400"/>
    <n v="110000"/>
    <x v="0"/>
  </r>
  <r>
    <s v="O083"/>
    <d v="2025-03-06T00:00:00"/>
    <s v="Pooja"/>
    <s v="West"/>
    <s v="RAHUL NAIR"/>
    <x v="4"/>
    <x v="2"/>
    <n v="9500"/>
    <n v="3"/>
    <s v="Paid"/>
    <n v="9215"/>
    <n v="9500"/>
    <x v="1"/>
  </r>
  <r>
    <s v="O084"/>
    <d v="2025-03-17T00:00:00"/>
    <s v="Shiv"/>
    <s v="North"/>
    <s v="Neha Sharma"/>
    <x v="0"/>
    <x v="0"/>
    <n v="12000"/>
    <n v="5"/>
    <s v="Paid"/>
    <n v="22800"/>
    <n v="24000"/>
    <x v="1"/>
  </r>
  <r>
    <s v="O085"/>
    <d v="2025-02-12T00:00:00"/>
    <s v="Ananya"/>
    <s v="East"/>
    <s v="RAHUL NAIR"/>
    <x v="2"/>
    <x v="3"/>
    <n v="18000"/>
    <n v="4"/>
    <s v="Paid"/>
    <n v="51840"/>
    <n v="54000"/>
    <x v="2"/>
  </r>
  <r>
    <s v="O086"/>
    <d v="2025-02-28T00:00:00"/>
    <s v="Ramesh"/>
    <s v="South"/>
    <s v="Anita Joseph"/>
    <x v="1"/>
    <x v="0"/>
    <n v="7500"/>
    <n v="4"/>
    <s v="Paid"/>
    <n v="14400"/>
    <n v="15000"/>
    <x v="2"/>
  </r>
  <r>
    <s v="O087"/>
    <d v="2025-04-04T00:00:00"/>
    <s v="Pranav"/>
    <s v="West"/>
    <s v="Neha Sharma"/>
    <x v="3"/>
    <x v="3"/>
    <n v="55000"/>
    <n v="5"/>
    <s v="Paid"/>
    <n v="156750"/>
    <n v="165000"/>
    <x v="0"/>
  </r>
  <r>
    <s v="O088"/>
    <d v="2025-03-09T00:00:00"/>
    <s v="Deepak"/>
    <s v="East"/>
    <s v="RAHUL NAIR"/>
    <x v="0"/>
    <x v="0"/>
    <n v="12000"/>
    <n v="6"/>
    <s v="Paid"/>
    <n v="22560"/>
    <n v="24000"/>
    <x v="1"/>
  </r>
  <r>
    <s v="O089"/>
    <d v="2025-03-31T00:00:00"/>
    <s v="Suman"/>
    <s v="North"/>
    <s v="Anita Joseph"/>
    <x v="2"/>
    <x v="4"/>
    <n v="18000"/>
    <n v="8"/>
    <s v="Paid"/>
    <n v="66240"/>
    <n v="72000"/>
    <x v="1"/>
  </r>
  <r>
    <s v="O090"/>
    <d v="2025-02-23T00:00:00"/>
    <s v="Ragini"/>
    <s v="South"/>
    <s v="Neha Sharma"/>
    <x v="4"/>
    <x v="0"/>
    <n v="9500"/>
    <n v="5"/>
    <s v="Paid"/>
    <n v="18050"/>
    <n v="19000"/>
    <x v="2"/>
  </r>
  <r>
    <s v="O091"/>
    <d v="2025-04-02T00:00:00"/>
    <s v="Nikita"/>
    <s v="West"/>
    <s v="RAHUL NAIR"/>
    <x v="0"/>
    <x v="3"/>
    <n v="12000"/>
    <n v="5"/>
    <s v="Paid"/>
    <n v="34200"/>
    <n v="36000"/>
    <x v="0"/>
  </r>
  <r>
    <s v="O092"/>
    <d v="2025-03-11T00:00:00"/>
    <s v="Santhosh"/>
    <s v="East"/>
    <s v="Neha Sharma"/>
    <x v="2"/>
    <x v="0"/>
    <n v="18000"/>
    <n v="3"/>
    <s v="Paid"/>
    <n v="34920"/>
    <n v="36000"/>
    <x v="1"/>
  </r>
  <r>
    <s v="O093"/>
    <d v="2025-02-07T00:00:00"/>
    <s v="Sahil"/>
    <s v="North"/>
    <s v="RAHUL NAIR"/>
    <x v="3"/>
    <x v="4"/>
    <n v="55000"/>
    <n v="7"/>
    <s v="Paid"/>
    <n v="204600"/>
    <n v="220000"/>
    <x v="2"/>
  </r>
  <r>
    <s v="O094"/>
    <d v="2025-04-20T00:00:00"/>
    <s v="Meena"/>
    <s v="West"/>
    <s v="Neha Sharma"/>
    <x v="1"/>
    <x v="3"/>
    <n v="7500"/>
    <n v="6"/>
    <s v="Pending"/>
    <n v="0"/>
    <n v="0"/>
    <x v="0"/>
  </r>
  <r>
    <s v="O095"/>
    <d v="2025-03-25T00:00:00"/>
    <s v="Ashok"/>
    <s v="South"/>
    <s v="Anita Joseph"/>
    <x v="0"/>
    <x v="0"/>
    <n v="12000"/>
    <n v="5"/>
    <s v="Paid"/>
    <n v="22800"/>
    <n v="24000"/>
    <x v="1"/>
  </r>
  <r>
    <s v="O096"/>
    <d v="2025-04-16T00:00:00"/>
    <s v="Arun Kumar"/>
    <s v="West"/>
    <s v="Neha Sharma"/>
    <x v="3"/>
    <x v="6"/>
    <n v="55000"/>
    <n v="1"/>
    <s v="Paid"/>
    <n v="381150"/>
    <n v="385000"/>
    <x v="0"/>
  </r>
  <r>
    <s v="O097"/>
    <d v="2025-02-05T00:00:00"/>
    <s v="Bhavya"/>
    <s v="East"/>
    <s v="RAHUL NAIR"/>
    <x v="2"/>
    <x v="0"/>
    <n v="18000"/>
    <n v="5"/>
    <s v="Paid"/>
    <n v="34200"/>
    <n v="36000"/>
    <x v="2"/>
  </r>
  <r>
    <s v="O098"/>
    <d v="2025-03-15T00:00:00"/>
    <s v="Vinod"/>
    <s v="South"/>
    <s v="Neha Sharma"/>
    <x v="4"/>
    <x v="2"/>
    <n v="9500"/>
    <n v="3"/>
    <s v="Paid"/>
    <n v="9215"/>
    <n v="9500"/>
    <x v="1"/>
  </r>
  <r>
    <s v="O099"/>
    <d v="2025-04-18T00:00:00"/>
    <s v="Pratik"/>
    <s v="North"/>
    <s v="Anita Joseph"/>
    <x v="1"/>
    <x v="4"/>
    <n v="7500"/>
    <n v="4"/>
    <s v="Paid"/>
    <n v="28800"/>
    <n v="30000"/>
    <x v="0"/>
  </r>
  <r>
    <s v="O100"/>
    <d v="2025-02-27T00:00:00"/>
    <s v="Ankit"/>
    <s v="West"/>
    <s v="RAHUL NAIR"/>
    <x v="0"/>
    <x v="0"/>
    <n v="12000"/>
    <n v="6"/>
    <s v="Paid"/>
    <n v="22560"/>
    <n v="24000"/>
    <x v="2"/>
  </r>
  <r>
    <s v="O100"/>
    <d v="2025-02-27T00:00:00"/>
    <s v="Ankit"/>
    <s v="West"/>
    <s v="RAHUL NAIR"/>
    <x v="0"/>
    <x v="0"/>
    <n v="12000"/>
    <n v="6"/>
    <s v="Paid"/>
    <n v="22560"/>
    <n v="24000"/>
    <x v="2"/>
  </r>
  <r>
    <s v="O101"/>
    <d v="2025-04-08T00:00:00"/>
    <s v="Sahil"/>
    <s v="South"/>
    <s v="Neha Sharma"/>
    <x v="2"/>
    <x v="3"/>
    <n v="18000"/>
    <n v="5"/>
    <s v="Paid"/>
    <n v="51300"/>
    <n v="54000"/>
    <x v="0"/>
  </r>
  <r>
    <s v="O102"/>
    <d v="2025-02-22T00:00:00"/>
    <s v="Shalini S"/>
    <s v="East"/>
    <s v="Anita Joseph"/>
    <x v="4"/>
    <x v="4"/>
    <n v="9500"/>
    <n v="6"/>
    <s v="Paid"/>
    <n v="35720"/>
    <n v="38000"/>
    <x v="2"/>
  </r>
  <r>
    <s v="O103"/>
    <d v="2025-03-01T00:00:00"/>
    <s v="Deepa Menon"/>
    <s v="West"/>
    <s v="Anita Joseph"/>
    <x v="2"/>
    <x v="1"/>
    <n v="18000"/>
    <n v="8"/>
    <s v="Paid"/>
    <n v="99360"/>
    <n v="108000"/>
    <x v="1"/>
  </r>
  <r>
    <s v="O104"/>
    <d v="2025-03-04T00:00:00"/>
    <s v="Megha S"/>
    <s v="North"/>
    <s v="RAHUL NAIR"/>
    <x v="0"/>
    <x v="0"/>
    <n v="12000"/>
    <n v="5"/>
    <s v="Paid"/>
    <n v="22800"/>
    <n v="24000"/>
    <x v="1"/>
  </r>
  <r>
    <s v="O105"/>
    <d v="2025-03-10T00:00:00"/>
    <s v="Naveen"/>
    <s v="South"/>
    <s v="Neha Sharma"/>
    <x v="1"/>
    <x v="0"/>
    <n v="7500"/>
    <n v="4"/>
    <s v="Paid"/>
    <n v="14400"/>
    <n v="15000"/>
    <x v="1"/>
  </r>
  <r>
    <s v="O106"/>
    <d v="2025-02-14T00:00:00"/>
    <s v="Sahil"/>
    <s v="West"/>
    <s v="RAHUL NAIR"/>
    <x v="3"/>
    <x v="5"/>
    <n v="55000"/>
    <n v="7"/>
    <s v="Paid"/>
    <n v="255749.99999999997"/>
    <n v="275000"/>
    <x v="2"/>
  </r>
  <r>
    <s v="O107"/>
    <d v="2025-03-30T00:00:00"/>
    <s v="Kumar"/>
    <s v="East"/>
    <s v="Neha Sharma"/>
    <x v="2"/>
    <x v="3"/>
    <n v="18000"/>
    <n v="5"/>
    <s v="Paid"/>
    <n v="51300"/>
    <n v="54000"/>
    <x v="1"/>
  </r>
  <r>
    <s v="O108"/>
    <d v="2025-02-26T00:00:00"/>
    <s v="Ramesh K"/>
    <s v="North"/>
    <s v="srikanth verma"/>
    <x v="3"/>
    <x v="2"/>
    <n v="55000"/>
    <n v="0.08"/>
    <s v="Pending"/>
    <n v="0"/>
    <n v="0"/>
    <x v="2"/>
  </r>
  <r>
    <s v="O109"/>
    <d v="2025-04-09T00:00:00"/>
    <s v="Tejaswini"/>
    <s v="South"/>
    <s v="Anita Joseph"/>
    <x v="0"/>
    <x v="0"/>
    <n v="12000"/>
    <n v="5"/>
    <s v="Paid"/>
    <n v="22800"/>
    <n v="24000"/>
    <x v="0"/>
  </r>
  <r>
    <s v="O110"/>
    <d v="2025-02-03T00:00:00"/>
    <s v="Bhavana"/>
    <s v="West"/>
    <s v="RAHUL NAIR"/>
    <x v="4"/>
    <x v="0"/>
    <n v="9500"/>
    <n v="4"/>
    <s v="Paid"/>
    <n v="18240"/>
    <n v="19000"/>
    <x v="2"/>
  </r>
  <r>
    <s v="O111"/>
    <d v="2025-03-19T00:00:00"/>
    <s v="Neha"/>
    <s v="East"/>
    <s v="Neha Sharma"/>
    <x v="2"/>
    <x v="4"/>
    <n v="18000"/>
    <n v="6"/>
    <s v="Paid"/>
    <n v="67680"/>
    <n v="72000"/>
    <x v="1"/>
  </r>
  <r>
    <s v="O112"/>
    <d v="2025-01-04T00:00:00"/>
    <s v="Priya"/>
    <s v="West"/>
    <s v="Neha Sharma"/>
    <x v="0"/>
    <x v="3"/>
    <n v="12000"/>
    <n v="5"/>
    <s v="Paid"/>
    <n v="34200"/>
    <n v="36000"/>
    <x v="3"/>
  </r>
  <r>
    <s v="O113"/>
    <d v="2025-02-12T00:00:00"/>
    <s v="Arjun Reddy"/>
    <s v="South"/>
    <s v="RAHUL NAIR"/>
    <x v="4"/>
    <x v="0"/>
    <n v="9500"/>
    <n v="6"/>
    <s v="Paid"/>
    <n v="17860"/>
    <n v="19000"/>
    <x v="2"/>
  </r>
  <r>
    <s v="O114"/>
    <d v="2025-03-24T00:00:00"/>
    <s v="Pradeep"/>
    <s v="North"/>
    <s v="Anita Joseph"/>
    <x v="3"/>
    <x v="0"/>
    <n v="55000"/>
    <n v="5"/>
    <s v="Paid"/>
    <n v="104500"/>
    <n v="110000"/>
    <x v="1"/>
  </r>
  <r>
    <s v="O115"/>
    <d v="2025-04-05T00:00:00"/>
    <s v="Asha"/>
    <s v="East"/>
    <s v="Neha Sharma"/>
    <x v="2"/>
    <x v="4"/>
    <n v="18000"/>
    <n v="6"/>
    <s v="Pending"/>
    <n v="0"/>
    <n v="0"/>
    <x v="0"/>
  </r>
  <r>
    <s v="O116"/>
    <d v="2025-02-15T00:00:00"/>
    <s v="Maya"/>
    <s v="South"/>
    <s v="RAHUL NAIR"/>
    <x v="0"/>
    <x v="3"/>
    <n v="12000"/>
    <n v="4"/>
    <s v="Paid"/>
    <n v="34560"/>
    <n v="36000"/>
    <x v="2"/>
  </r>
  <r>
    <s v="O117"/>
    <d v="2025-04-21T00:00:00"/>
    <s v="Neha Sharma"/>
    <s v="West"/>
    <s v="Anita Joseph"/>
    <x v="4"/>
    <x v="0"/>
    <n v="9500"/>
    <n v="5"/>
    <s v="Paid"/>
    <n v="18050"/>
    <n v="19000"/>
    <x v="0"/>
  </r>
  <r>
    <s v="O118"/>
    <d v="2025-03-02T00:00:00"/>
    <s v="Dinesh"/>
    <s v="North"/>
    <s v="Neha Sharma"/>
    <x v="1"/>
    <x v="2"/>
    <n v="7500"/>
    <n v="6"/>
    <s v="Paid"/>
    <n v="7050"/>
    <n v="7500"/>
    <x v="1"/>
  </r>
  <r>
    <s v="O119"/>
    <d v="2025-04-07T00:00:00"/>
    <s v="Suresh"/>
    <s v="East"/>
    <s v="RAHUL NAIR"/>
    <x v="2"/>
    <x v="5"/>
    <n v="18000"/>
    <n v="7"/>
    <s v="Pending"/>
    <n v="0"/>
    <n v="0"/>
    <x v="0"/>
  </r>
  <r>
    <s v="O120"/>
    <d v="2025-02-16T00:00:00"/>
    <s v="Ramesh"/>
    <s v="South"/>
    <s v="Neha Sharma"/>
    <x v="0"/>
    <x v="3"/>
    <n v="12000"/>
    <n v="6"/>
    <s v="Paid"/>
    <n v="33840"/>
    <n v="36000"/>
    <x v="2"/>
  </r>
  <r>
    <s v="O121"/>
    <d v="2025-03-11T00:00:00"/>
    <s v="Aditi"/>
    <s v="West"/>
    <s v="RAHUL NAIR"/>
    <x v="3"/>
    <x v="2"/>
    <n v="55000"/>
    <n v="5"/>
    <s v="Paid"/>
    <n v="52250"/>
    <n v="55000"/>
    <x v="1"/>
  </r>
  <r>
    <s v="O122"/>
    <s v="22-Feb-2025 "/>
    <s v="NoteDate"/>
    <s v="South"/>
    <s v="Neha Sharma"/>
    <x v="2"/>
    <x v="0"/>
    <n v="18000"/>
    <n v="4"/>
    <s v="Paid"/>
    <n v="34560"/>
    <n v="36000"/>
    <x v="2"/>
  </r>
  <r>
    <s v="O123"/>
    <d v="2025-04-02T00:00:00"/>
    <s v="Pranav"/>
    <s v="North"/>
    <s v="Anita Joseph"/>
    <x v="4"/>
    <x v="3"/>
    <n v="9500"/>
    <n v="6"/>
    <s v="Paid"/>
    <n v="26790"/>
    <n v="28500"/>
    <x v="0"/>
  </r>
  <r>
    <s v="O124"/>
    <d v="2025-03-08T00:00:00"/>
    <s v="Gita"/>
    <s v="West"/>
    <s v="RAHUL NAIR"/>
    <x v="0"/>
    <x v="0"/>
    <n v="12000"/>
    <n v="5"/>
    <s v="Paid"/>
    <n v="22800"/>
    <n v="24000"/>
    <x v="1"/>
  </r>
  <r>
    <s v="O125"/>
    <d v="2025-02-17T00:00:00"/>
    <s v="Sahil"/>
    <s v="East"/>
    <s v="Neha Sharma"/>
    <x v="2"/>
    <x v="1"/>
    <n v="18000"/>
    <n v="8"/>
    <s v="Paid"/>
    <n v="99360"/>
    <n v="108000"/>
    <x v="2"/>
  </r>
  <r>
    <m/>
    <m/>
    <m/>
    <m/>
    <m/>
    <x v="5"/>
    <x v="7"/>
    <m/>
    <m/>
    <n v="5.1031746031746028"/>
    <m/>
    <n v="59310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067C2-53A8-40F1-B31F-7F943881302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 Revenue" fld="10" baseField="3" baseItem="0"/>
  </dataFields>
  <formats count="1"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BAFB7-4CB7-4A4F-9FF9-84A40BEFF33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1" firstHeaderRow="1" firstDataRow="2" firstDataCol="1"/>
  <pivotFields count="13">
    <pivotField showAll="0"/>
    <pivotField showAll="0"/>
    <pivotField showAll="0"/>
    <pivotField showAll="0"/>
    <pivotField showAll="0"/>
    <pivotField axis="axisRow" showAll="0">
      <items count="7">
        <item x="4"/>
        <item x="3"/>
        <item x="2"/>
        <item x="1"/>
        <item x="0"/>
        <item x="5"/>
        <item t="default"/>
      </items>
    </pivotField>
    <pivotField dataField="1" showAll="0">
      <items count="9">
        <item x="2"/>
        <item x="0"/>
        <item x="3"/>
        <item x="4"/>
        <item x="5"/>
        <item x="1"/>
        <item x="6"/>
        <item x="7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x="3"/>
        <item x="2"/>
        <item x="1"/>
        <item x="0"/>
        <item x="4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64CB-0AD6-476D-B5CB-3CEBD51C2D01}">
  <dimension ref="A3:D8"/>
  <sheetViews>
    <sheetView workbookViewId="0">
      <selection activeCell="B6" sqref="B6"/>
    </sheetView>
  </sheetViews>
  <sheetFormatPr defaultRowHeight="13.2" x14ac:dyDescent="0.25"/>
  <cols>
    <col min="1" max="1" width="13.33203125" bestFit="1" customWidth="1"/>
    <col min="2" max="2" width="19" bestFit="1" customWidth="1"/>
    <col min="4" max="4" width="26.5546875" customWidth="1"/>
  </cols>
  <sheetData>
    <row r="3" spans="1:4" x14ac:dyDescent="0.25">
      <c r="A3" s="26" t="s">
        <v>246</v>
      </c>
      <c r="B3" s="27" t="s">
        <v>248</v>
      </c>
    </row>
    <row r="4" spans="1:4" x14ac:dyDescent="0.25">
      <c r="A4" s="15" t="s">
        <v>38</v>
      </c>
      <c r="B4">
        <v>1104235</v>
      </c>
      <c r="D4" s="29" t="s">
        <v>249</v>
      </c>
    </row>
    <row r="5" spans="1:4" x14ac:dyDescent="0.25">
      <c r="A5" s="15" t="s">
        <v>25</v>
      </c>
      <c r="B5">
        <v>1329260</v>
      </c>
      <c r="D5" s="28" t="str">
        <f>INDEX(A4:A7,MATCH(MAX(B4:B7),B4:B7,0))</f>
        <v>West</v>
      </c>
    </row>
    <row r="6" spans="1:4" x14ac:dyDescent="0.25">
      <c r="A6" s="15" t="s">
        <v>15</v>
      </c>
      <c r="B6">
        <v>1312220</v>
      </c>
    </row>
    <row r="7" spans="1:4" x14ac:dyDescent="0.25">
      <c r="A7" s="15" t="s">
        <v>31</v>
      </c>
      <c r="B7">
        <v>1858965</v>
      </c>
    </row>
    <row r="8" spans="1:4" x14ac:dyDescent="0.25">
      <c r="A8" s="15" t="s">
        <v>247</v>
      </c>
      <c r="B8">
        <v>5604680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2203-4F97-4D1D-8E68-511B17DE339F}">
  <dimension ref="A3:K15"/>
  <sheetViews>
    <sheetView workbookViewId="0">
      <selection activeCell="P14" sqref="P14"/>
    </sheetView>
  </sheetViews>
  <sheetFormatPr defaultRowHeight="13.2" x14ac:dyDescent="0.25"/>
  <cols>
    <col min="1" max="1" width="15.21875" bestFit="1" customWidth="1"/>
    <col min="2" max="2" width="16.21875" bestFit="1" customWidth="1"/>
    <col min="3" max="3" width="8.88671875" bestFit="1" customWidth="1"/>
    <col min="4" max="4" width="6.33203125" bestFit="1" customWidth="1"/>
    <col min="5" max="5" width="5" bestFit="1" customWidth="1"/>
    <col min="6" max="6" width="7" bestFit="1" customWidth="1"/>
    <col min="7" max="7" width="11.33203125" bestFit="1" customWidth="1"/>
    <col min="8" max="8" width="2" bestFit="1" customWidth="1"/>
    <col min="9" max="9" width="7" bestFit="1" customWidth="1"/>
    <col min="10" max="10" width="11.33203125" bestFit="1" customWidth="1"/>
  </cols>
  <sheetData>
    <row r="3" spans="1:11" x14ac:dyDescent="0.25">
      <c r="A3" s="26" t="s">
        <v>259</v>
      </c>
      <c r="B3" s="26" t="s">
        <v>254</v>
      </c>
    </row>
    <row r="4" spans="1:11" x14ac:dyDescent="0.25">
      <c r="A4" s="26" t="s">
        <v>246</v>
      </c>
      <c r="B4" t="s">
        <v>255</v>
      </c>
      <c r="C4" t="s">
        <v>256</v>
      </c>
      <c r="D4" t="s">
        <v>257</v>
      </c>
      <c r="E4" t="s">
        <v>258</v>
      </c>
      <c r="F4" t="s">
        <v>253</v>
      </c>
      <c r="G4" t="s">
        <v>247</v>
      </c>
    </row>
    <row r="5" spans="1:11" x14ac:dyDescent="0.25">
      <c r="A5" s="15" t="s">
        <v>51</v>
      </c>
      <c r="B5" s="33"/>
      <c r="C5" s="33">
        <v>25</v>
      </c>
      <c r="D5" s="33">
        <v>11</v>
      </c>
      <c r="E5" s="33">
        <v>15</v>
      </c>
      <c r="F5" s="33"/>
      <c r="G5" s="33">
        <v>51</v>
      </c>
    </row>
    <row r="6" spans="1:11" x14ac:dyDescent="0.25">
      <c r="A6" s="15" t="s">
        <v>35</v>
      </c>
      <c r="B6" s="33"/>
      <c r="C6" s="33">
        <v>24</v>
      </c>
      <c r="D6" s="33">
        <v>16</v>
      </c>
      <c r="E6" s="33">
        <v>20</v>
      </c>
      <c r="F6" s="33"/>
      <c r="G6" s="33">
        <v>60</v>
      </c>
    </row>
    <row r="7" spans="1:11" x14ac:dyDescent="0.25">
      <c r="A7" s="15" t="s">
        <v>27</v>
      </c>
      <c r="B7" s="33"/>
      <c r="C7" s="33">
        <v>39</v>
      </c>
      <c r="D7" s="33">
        <v>58</v>
      </c>
      <c r="E7" s="33">
        <v>48</v>
      </c>
      <c r="F7" s="33"/>
      <c r="G7" s="33">
        <v>145</v>
      </c>
    </row>
    <row r="8" spans="1:11" x14ac:dyDescent="0.25">
      <c r="A8" s="15" t="s">
        <v>22</v>
      </c>
      <c r="B8" s="33"/>
      <c r="C8" s="33">
        <v>10</v>
      </c>
      <c r="D8" s="33">
        <v>17</v>
      </c>
      <c r="E8" s="33">
        <v>15</v>
      </c>
      <c r="F8" s="33"/>
      <c r="G8" s="33">
        <v>42</v>
      </c>
    </row>
    <row r="9" spans="1:11" x14ac:dyDescent="0.25">
      <c r="A9" s="15" t="s">
        <v>17</v>
      </c>
      <c r="B9" s="33">
        <v>3</v>
      </c>
      <c r="C9" s="33">
        <v>17</v>
      </c>
      <c r="D9" s="33">
        <v>16</v>
      </c>
      <c r="E9" s="33">
        <v>30</v>
      </c>
      <c r="F9" s="33"/>
      <c r="G9" s="33">
        <v>66</v>
      </c>
    </row>
    <row r="10" spans="1:11" x14ac:dyDescent="0.25">
      <c r="A10" s="15" t="s">
        <v>253</v>
      </c>
      <c r="B10" s="33"/>
      <c r="C10" s="33"/>
      <c r="D10" s="33"/>
      <c r="E10" s="33"/>
      <c r="F10" s="33"/>
      <c r="G10" s="33"/>
    </row>
    <row r="11" spans="1:11" x14ac:dyDescent="0.25">
      <c r="A11" s="15" t="s">
        <v>247</v>
      </c>
      <c r="B11" s="33">
        <v>3</v>
      </c>
      <c r="C11" s="33">
        <v>115</v>
      </c>
      <c r="D11" s="33">
        <v>118</v>
      </c>
      <c r="E11" s="33">
        <v>128</v>
      </c>
      <c r="F11" s="33"/>
      <c r="G11" s="33">
        <v>364</v>
      </c>
    </row>
    <row r="14" spans="1:11" x14ac:dyDescent="0.25">
      <c r="C14" s="36" t="s">
        <v>260</v>
      </c>
      <c r="D14" s="29"/>
      <c r="E14" s="29"/>
      <c r="J14" s="35" t="s">
        <v>261</v>
      </c>
      <c r="K14" s="34"/>
    </row>
    <row r="15" spans="1:11" x14ac:dyDescent="0.25">
      <c r="C15" t="str">
        <f>INDEX(B4:E4,MATCH(MAX(B9:E9),B9:E9,0))</f>
        <v>April</v>
      </c>
      <c r="J15" t="str">
        <f>INDEX(A5:A9,MATCH(MAX(G5:G9),G5:G9,0))</f>
        <v>Mobile</v>
      </c>
    </row>
  </sheetData>
  <conditionalFormatting sqref="C14:E15">
    <cfRule type="containsText" dxfId="0" priority="1" operator="containsText" text="Highest Quantity Month">
      <formula>NOT(ISERROR(SEARCH("Highest Quantity Month",C14)))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28"/>
  <sheetViews>
    <sheetView tabSelected="1" workbookViewId="0">
      <pane ySplit="1" topLeftCell="A2" activePane="bottomLeft" state="frozen"/>
      <selection pane="bottomLeft" activeCell="J128" sqref="J128"/>
    </sheetView>
  </sheetViews>
  <sheetFormatPr defaultColWidth="12.6640625" defaultRowHeight="15.75" customHeight="1" x14ac:dyDescent="0.25"/>
  <cols>
    <col min="2" max="2" width="15.33203125" style="18" bestFit="1" customWidth="1"/>
    <col min="3" max="3" width="17.109375" customWidth="1"/>
    <col min="5" max="5" width="20.21875" customWidth="1"/>
    <col min="8" max="8" width="12.6640625" style="21"/>
    <col min="9" max="9" width="12.6640625" style="14"/>
  </cols>
  <sheetData>
    <row r="1" spans="1:25" ht="26.4" x14ac:dyDescent="0.25">
      <c r="A1" s="1" t="s">
        <v>0</v>
      </c>
      <c r="B1" s="1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9" t="s">
        <v>7</v>
      </c>
      <c r="I1" s="1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2" x14ac:dyDescent="0.25">
      <c r="A2" s="4" t="s">
        <v>13</v>
      </c>
      <c r="B2" s="17">
        <v>45770</v>
      </c>
      <c r="C2" s="4" t="s">
        <v>14</v>
      </c>
      <c r="D2" s="4" t="s">
        <v>15</v>
      </c>
      <c r="E2" s="4" t="s">
        <v>16</v>
      </c>
      <c r="F2" s="5" t="s">
        <v>17</v>
      </c>
      <c r="G2" s="6">
        <v>2</v>
      </c>
      <c r="H2" s="20">
        <v>12000</v>
      </c>
      <c r="I2" s="13">
        <v>5</v>
      </c>
      <c r="J2" s="4" t="s">
        <v>18</v>
      </c>
      <c r="K2" s="6">
        <f>IF(J2="Paid", G2*H2*(1-I2/100), 0)</f>
        <v>22800</v>
      </c>
      <c r="L2" s="6">
        <f>IF(J2="Paid",G2*H2, 0)</f>
        <v>24000</v>
      </c>
      <c r="M2" s="6" t="str">
        <f>TEXT(B2, "mmmm")</f>
        <v>April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3.2" x14ac:dyDescent="0.25">
      <c r="A3" s="4" t="s">
        <v>19</v>
      </c>
      <c r="B3" s="17">
        <v>45775</v>
      </c>
      <c r="C3" s="4" t="s">
        <v>20</v>
      </c>
      <c r="D3" s="4" t="s">
        <v>15</v>
      </c>
      <c r="E3" s="4" t="s">
        <v>21</v>
      </c>
      <c r="F3" s="5" t="s">
        <v>22</v>
      </c>
      <c r="G3" s="6">
        <v>2</v>
      </c>
      <c r="H3" s="20">
        <v>7500</v>
      </c>
      <c r="I3" s="13">
        <v>6</v>
      </c>
      <c r="J3" s="4" t="s">
        <v>18</v>
      </c>
      <c r="K3" s="6">
        <f>IF(J3="Paid", G3*H3*(1-I3/100), 0)</f>
        <v>14100</v>
      </c>
      <c r="L3" s="6">
        <f>IF(J3="Paid",G3*H3, 0)</f>
        <v>15000</v>
      </c>
      <c r="M3" s="6" t="str">
        <f t="shared" ref="M3:M66" si="0">TEXT(B3, "mmmm")</f>
        <v>April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3.2" x14ac:dyDescent="0.25">
      <c r="A4" s="4" t="s">
        <v>23</v>
      </c>
      <c r="B4" s="17">
        <v>45723</v>
      </c>
      <c r="C4" s="4" t="s">
        <v>24</v>
      </c>
      <c r="D4" s="4" t="s">
        <v>25</v>
      </c>
      <c r="E4" s="4" t="s">
        <v>26</v>
      </c>
      <c r="F4" s="5" t="s">
        <v>27</v>
      </c>
      <c r="G4" s="6">
        <v>6</v>
      </c>
      <c r="H4" s="20">
        <v>18000</v>
      </c>
      <c r="I4" s="13">
        <v>8</v>
      </c>
      <c r="J4" s="4" t="s">
        <v>28</v>
      </c>
      <c r="K4" s="6">
        <f>IF(J4="Paid", G4*H4*(1-I4/100), 0)</f>
        <v>0</v>
      </c>
      <c r="L4" s="6">
        <f>IF(J4="Paid",G4*H4, 0)</f>
        <v>0</v>
      </c>
      <c r="M4" s="6" t="str">
        <f t="shared" si="0"/>
        <v>March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3.2" x14ac:dyDescent="0.25">
      <c r="A5" s="4" t="s">
        <v>29</v>
      </c>
      <c r="B5" s="17">
        <v>45702</v>
      </c>
      <c r="C5" s="4" t="s">
        <v>30</v>
      </c>
      <c r="D5" s="4" t="s">
        <v>31</v>
      </c>
      <c r="E5" s="4" t="s">
        <v>16</v>
      </c>
      <c r="F5" s="5" t="s">
        <v>27</v>
      </c>
      <c r="G5" s="6">
        <v>6</v>
      </c>
      <c r="H5" s="20">
        <v>18000</v>
      </c>
      <c r="I5" s="13">
        <v>8</v>
      </c>
      <c r="J5" s="4" t="s">
        <v>28</v>
      </c>
      <c r="K5" s="6">
        <f>IF(J5="Paid", G5*H5*(1-I5/100), 0)</f>
        <v>0</v>
      </c>
      <c r="L5" s="6">
        <f>IF(J5="Paid",G5*H5, 0)</f>
        <v>0</v>
      </c>
      <c r="M5" s="6" t="str">
        <f t="shared" si="0"/>
        <v>February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3.2" x14ac:dyDescent="0.25">
      <c r="A6" s="4" t="s">
        <v>32</v>
      </c>
      <c r="B6" s="17">
        <v>45708</v>
      </c>
      <c r="C6" s="4" t="s">
        <v>33</v>
      </c>
      <c r="D6" s="4" t="s">
        <v>25</v>
      </c>
      <c r="E6" s="4" t="s">
        <v>34</v>
      </c>
      <c r="F6" s="5" t="s">
        <v>35</v>
      </c>
      <c r="G6" s="6">
        <v>1</v>
      </c>
      <c r="H6" s="20">
        <v>55000</v>
      </c>
      <c r="I6" s="13">
        <v>0.08</v>
      </c>
      <c r="J6" s="4" t="s">
        <v>28</v>
      </c>
      <c r="K6" s="6">
        <f>IF(J6="Paid", G6*H6*(1-I6/100), 0)</f>
        <v>0</v>
      </c>
      <c r="L6" s="6">
        <f>IF(J6="Paid",G6*H6, 0)</f>
        <v>0</v>
      </c>
      <c r="M6" s="6" t="str">
        <f t="shared" si="0"/>
        <v>February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3.2" x14ac:dyDescent="0.25">
      <c r="A7" s="4" t="s">
        <v>36</v>
      </c>
      <c r="B7" s="17">
        <v>45719</v>
      </c>
      <c r="C7" s="4" t="s">
        <v>37</v>
      </c>
      <c r="D7" s="4" t="s">
        <v>38</v>
      </c>
      <c r="E7" s="4" t="s">
        <v>39</v>
      </c>
      <c r="F7" s="5" t="s">
        <v>35</v>
      </c>
      <c r="G7" s="6">
        <v>2</v>
      </c>
      <c r="H7" s="20">
        <v>55000</v>
      </c>
      <c r="I7" s="13">
        <v>6</v>
      </c>
      <c r="J7" s="4" t="s">
        <v>18</v>
      </c>
      <c r="K7" s="6">
        <f>IF(J7="Paid", G7*H7*(1-I7/100), 0)</f>
        <v>103400</v>
      </c>
      <c r="L7" s="6">
        <f>IF(J7="Paid",G7*H7, 0)</f>
        <v>110000</v>
      </c>
      <c r="M7" s="6" t="str">
        <f t="shared" si="0"/>
        <v>March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3.2" x14ac:dyDescent="0.25">
      <c r="A8" s="4" t="s">
        <v>40</v>
      </c>
      <c r="B8" s="17">
        <v>45758</v>
      </c>
      <c r="C8" s="4" t="s">
        <v>41</v>
      </c>
      <c r="D8" s="4" t="s">
        <v>31</v>
      </c>
      <c r="E8" s="4" t="s">
        <v>42</v>
      </c>
      <c r="F8" s="5" t="s">
        <v>17</v>
      </c>
      <c r="G8" s="6">
        <v>3</v>
      </c>
      <c r="H8" s="20">
        <v>12000</v>
      </c>
      <c r="I8" s="13">
        <v>5</v>
      </c>
      <c r="J8" s="4" t="s">
        <v>18</v>
      </c>
      <c r="K8" s="6">
        <f>IF(J8="Paid", G8*H8*(1-I8/100), 0)</f>
        <v>34200</v>
      </c>
      <c r="L8" s="6">
        <f>IF(J8="Paid",G8*H8, 0)</f>
        <v>36000</v>
      </c>
      <c r="M8" s="6" t="str">
        <f t="shared" si="0"/>
        <v>April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2" x14ac:dyDescent="0.25">
      <c r="A9" s="4" t="s">
        <v>43</v>
      </c>
      <c r="B9" s="17">
        <v>45735</v>
      </c>
      <c r="C9" s="4" t="s">
        <v>44</v>
      </c>
      <c r="D9" s="4" t="s">
        <v>15</v>
      </c>
      <c r="E9" s="4" t="s">
        <v>16</v>
      </c>
      <c r="F9" s="5" t="s">
        <v>27</v>
      </c>
      <c r="G9" s="6">
        <v>4</v>
      </c>
      <c r="H9" s="20">
        <v>18000</v>
      </c>
      <c r="I9" s="13">
        <v>7</v>
      </c>
      <c r="J9" s="4" t="s">
        <v>18</v>
      </c>
      <c r="K9" s="6">
        <f>IF(J9="Paid", G9*H9*(1-I9/100), 0)</f>
        <v>66960</v>
      </c>
      <c r="L9" s="6">
        <f>IF(J9="Paid",G9*H9, 0)</f>
        <v>72000</v>
      </c>
      <c r="M9" s="6" t="str">
        <f t="shared" si="0"/>
        <v>March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2" x14ac:dyDescent="0.25">
      <c r="A10" s="4" t="s">
        <v>45</v>
      </c>
      <c r="B10" s="17">
        <v>45713</v>
      </c>
      <c r="C10" s="4" t="s">
        <v>46</v>
      </c>
      <c r="D10" s="4" t="s">
        <v>38</v>
      </c>
      <c r="E10" s="4"/>
      <c r="F10" s="5" t="s">
        <v>35</v>
      </c>
      <c r="G10" s="6">
        <v>3</v>
      </c>
      <c r="H10" s="20">
        <v>55000</v>
      </c>
      <c r="I10" s="13">
        <v>5</v>
      </c>
      <c r="J10" s="4" t="s">
        <v>47</v>
      </c>
      <c r="K10" s="6">
        <f>IF(J10="Paid", G10*H10*(1-I10/100), 0)</f>
        <v>0</v>
      </c>
      <c r="L10" s="6">
        <f>IF(J10="Paid",G10*H10, 0)</f>
        <v>0</v>
      </c>
      <c r="M10" s="6" t="str">
        <f t="shared" si="0"/>
        <v>February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2" x14ac:dyDescent="0.25">
      <c r="A11" s="4" t="s">
        <v>48</v>
      </c>
      <c r="B11" s="17">
        <v>45695</v>
      </c>
      <c r="C11" s="4" t="s">
        <v>39</v>
      </c>
      <c r="D11" s="4" t="s">
        <v>15</v>
      </c>
      <c r="E11" s="4" t="s">
        <v>39</v>
      </c>
      <c r="F11" s="5" t="s">
        <v>22</v>
      </c>
      <c r="G11" s="6">
        <v>2</v>
      </c>
      <c r="H11" s="20">
        <v>7500</v>
      </c>
      <c r="I11" s="13">
        <v>8</v>
      </c>
      <c r="J11" s="4" t="s">
        <v>18</v>
      </c>
      <c r="K11" s="6">
        <f>IF(J11="Paid", G11*H11*(1-I11/100), 0)</f>
        <v>13800</v>
      </c>
      <c r="L11" s="6">
        <f>IF(J11="Paid",G11*H11, 0)</f>
        <v>15000</v>
      </c>
      <c r="M11" s="6" t="str">
        <f t="shared" si="0"/>
        <v>February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2" x14ac:dyDescent="0.25">
      <c r="A12" s="4" t="s">
        <v>49</v>
      </c>
      <c r="B12" s="17">
        <v>45750</v>
      </c>
      <c r="C12" s="4" t="s">
        <v>50</v>
      </c>
      <c r="D12" s="4" t="s">
        <v>25</v>
      </c>
      <c r="E12" s="4" t="s">
        <v>16</v>
      </c>
      <c r="F12" s="5" t="s">
        <v>51</v>
      </c>
      <c r="G12" s="6">
        <v>1</v>
      </c>
      <c r="H12" s="20">
        <v>9500</v>
      </c>
      <c r="I12" s="13">
        <v>3</v>
      </c>
      <c r="J12" s="4" t="s">
        <v>18</v>
      </c>
      <c r="K12" s="6">
        <f>IF(J12="Paid", G12*H12*(1-I12/100), 0)</f>
        <v>9215</v>
      </c>
      <c r="L12" s="6">
        <f>IF(J12="Paid",G12*H12, 0)</f>
        <v>9500</v>
      </c>
      <c r="M12" s="6" t="str">
        <f t="shared" si="0"/>
        <v>April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2" x14ac:dyDescent="0.25">
      <c r="A13" s="4" t="s">
        <v>52</v>
      </c>
      <c r="B13" s="17">
        <v>45705</v>
      </c>
      <c r="C13" s="4" t="s">
        <v>53</v>
      </c>
      <c r="D13" s="4" t="s">
        <v>31</v>
      </c>
      <c r="E13" s="4" t="s">
        <v>54</v>
      </c>
      <c r="F13" s="5" t="s">
        <v>17</v>
      </c>
      <c r="G13" s="6">
        <v>1</v>
      </c>
      <c r="H13" s="20">
        <v>12000</v>
      </c>
      <c r="I13" s="13">
        <v>4</v>
      </c>
      <c r="J13" s="4" t="s">
        <v>18</v>
      </c>
      <c r="K13" s="6">
        <f>IF(J13="Paid", G13*H13*(1-I13/100), 0)</f>
        <v>11520</v>
      </c>
      <c r="L13" s="6">
        <f>IF(J13="Paid",G13*H13, 0)</f>
        <v>12000</v>
      </c>
      <c r="M13" s="6" t="str">
        <f t="shared" si="0"/>
        <v>February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2" x14ac:dyDescent="0.25">
      <c r="A14" s="4" t="s">
        <v>55</v>
      </c>
      <c r="B14" s="17">
        <v>45718</v>
      </c>
      <c r="C14" s="4" t="s">
        <v>56</v>
      </c>
      <c r="D14" s="4" t="s">
        <v>38</v>
      </c>
      <c r="E14" s="4" t="s">
        <v>16</v>
      </c>
      <c r="F14" s="5" t="s">
        <v>27</v>
      </c>
      <c r="G14" s="6">
        <v>6</v>
      </c>
      <c r="H14" s="20">
        <v>18000</v>
      </c>
      <c r="I14" s="13">
        <v>8</v>
      </c>
      <c r="J14" s="4" t="s">
        <v>18</v>
      </c>
      <c r="K14" s="6">
        <f>IF(J14="Paid", G14*H14*(1-I14/100), 0)</f>
        <v>99360</v>
      </c>
      <c r="L14" s="6">
        <f>IF(J14="Paid",G14*H14, 0)</f>
        <v>108000</v>
      </c>
      <c r="M14" s="6" t="str">
        <f t="shared" si="0"/>
        <v>March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2" x14ac:dyDescent="0.25">
      <c r="A15" s="4" t="s">
        <v>57</v>
      </c>
      <c r="B15" s="17">
        <v>45760</v>
      </c>
      <c r="C15" s="4" t="s">
        <v>41</v>
      </c>
      <c r="D15" s="4" t="s">
        <v>31</v>
      </c>
      <c r="E15" s="4" t="s">
        <v>16</v>
      </c>
      <c r="F15" s="5" t="s">
        <v>27</v>
      </c>
      <c r="G15" s="6">
        <v>5</v>
      </c>
      <c r="H15" s="20">
        <v>18000</v>
      </c>
      <c r="I15" s="13">
        <v>0</v>
      </c>
      <c r="J15" s="4" t="s">
        <v>18</v>
      </c>
      <c r="K15" s="6">
        <f>IF(J15="Paid", G15*H15*(1-I15/100), 0)</f>
        <v>90000</v>
      </c>
      <c r="L15" s="6">
        <f>IF(J15="Paid",G15*H15, 0)</f>
        <v>90000</v>
      </c>
      <c r="M15" s="6" t="str">
        <f t="shared" si="0"/>
        <v>April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2" x14ac:dyDescent="0.25">
      <c r="A16" s="4" t="s">
        <v>58</v>
      </c>
      <c r="B16" s="17">
        <v>45724</v>
      </c>
      <c r="C16" s="4" t="s">
        <v>59</v>
      </c>
      <c r="D16" s="4" t="s">
        <v>15</v>
      </c>
      <c r="E16" s="4" t="s">
        <v>42</v>
      </c>
      <c r="F16" s="5" t="s">
        <v>35</v>
      </c>
      <c r="G16" s="6">
        <v>1</v>
      </c>
      <c r="H16" s="20">
        <v>55000</v>
      </c>
      <c r="I16" s="13">
        <v>7</v>
      </c>
      <c r="J16" s="4" t="s">
        <v>18</v>
      </c>
      <c r="K16" s="6">
        <f>IF(J16="Paid", G16*H16*(1-I16/100), 0)</f>
        <v>51150</v>
      </c>
      <c r="L16" s="6">
        <f>IF(J16="Paid",G16*H16, 0)</f>
        <v>55000</v>
      </c>
      <c r="M16" s="6" t="str">
        <f t="shared" si="0"/>
        <v>March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2" x14ac:dyDescent="0.25">
      <c r="A17" s="4" t="s">
        <v>60</v>
      </c>
      <c r="B17" s="17">
        <v>45709</v>
      </c>
      <c r="C17" s="4" t="s">
        <v>61</v>
      </c>
      <c r="D17" s="4" t="s">
        <v>25</v>
      </c>
      <c r="E17" s="4" t="s">
        <v>21</v>
      </c>
      <c r="F17" s="5" t="s">
        <v>22</v>
      </c>
      <c r="G17" s="6">
        <v>3</v>
      </c>
      <c r="H17" s="20">
        <v>7500</v>
      </c>
      <c r="I17" s="13">
        <v>5</v>
      </c>
      <c r="J17" s="4" t="s">
        <v>18</v>
      </c>
      <c r="K17" s="6">
        <f>IF(J17="Paid", G17*H17*(1-I17/100), 0)</f>
        <v>21375</v>
      </c>
      <c r="L17" s="6">
        <f>IF(J17="Paid",G17*H17, 0)</f>
        <v>22500</v>
      </c>
      <c r="M17" s="6" t="str">
        <f t="shared" si="0"/>
        <v>February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2" x14ac:dyDescent="0.25">
      <c r="A18" s="4" t="s">
        <v>62</v>
      </c>
      <c r="B18" s="17">
        <v>45745</v>
      </c>
      <c r="C18" s="4" t="s">
        <v>63</v>
      </c>
      <c r="D18" s="4" t="s">
        <v>38</v>
      </c>
      <c r="E18" s="4" t="s">
        <v>26</v>
      </c>
      <c r="F18" s="5" t="s">
        <v>51</v>
      </c>
      <c r="G18" s="6">
        <v>2</v>
      </c>
      <c r="H18" s="20">
        <v>9500</v>
      </c>
      <c r="I18" s="13">
        <v>6</v>
      </c>
      <c r="J18" s="4" t="s">
        <v>18</v>
      </c>
      <c r="K18" s="6">
        <f>IF(J18="Paid", G18*H18*(1-I18/100), 0)</f>
        <v>17860</v>
      </c>
      <c r="L18" s="6">
        <f>IF(J18="Paid",G18*H18, 0)</f>
        <v>19000</v>
      </c>
      <c r="M18" s="6" t="str">
        <f t="shared" si="0"/>
        <v>March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3.2" x14ac:dyDescent="0.25">
      <c r="A19" s="4" t="s">
        <v>64</v>
      </c>
      <c r="B19" s="17">
        <v>45749</v>
      </c>
      <c r="C19" s="4" t="s">
        <v>65</v>
      </c>
      <c r="D19" s="4" t="s">
        <v>31</v>
      </c>
      <c r="E19" s="4" t="s">
        <v>16</v>
      </c>
      <c r="F19" s="5" t="s">
        <v>35</v>
      </c>
      <c r="G19" s="6">
        <v>7</v>
      </c>
      <c r="H19" s="20">
        <v>55000</v>
      </c>
      <c r="I19" s="13">
        <v>1</v>
      </c>
      <c r="J19" s="4" t="s">
        <v>47</v>
      </c>
      <c r="K19" s="6">
        <f>IF(J19="Paid", G19*H19*(1-I19/100), 0)</f>
        <v>0</v>
      </c>
      <c r="L19" s="6">
        <f>IF(J19="Paid",G19*H19, 0)</f>
        <v>0</v>
      </c>
      <c r="M19" s="6" t="str">
        <f t="shared" si="0"/>
        <v>April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3.2" x14ac:dyDescent="0.25">
      <c r="A20" s="4" t="s">
        <v>66</v>
      </c>
      <c r="B20" s="17">
        <v>45721</v>
      </c>
      <c r="C20" s="4" t="s">
        <v>67</v>
      </c>
      <c r="D20" s="4" t="s">
        <v>15</v>
      </c>
      <c r="E20" s="4" t="s">
        <v>68</v>
      </c>
      <c r="F20" s="5" t="s">
        <v>17</v>
      </c>
      <c r="G20" s="6">
        <v>2</v>
      </c>
      <c r="H20" s="20">
        <v>12000</v>
      </c>
      <c r="I20" s="13">
        <v>5</v>
      </c>
      <c r="J20" s="4" t="s">
        <v>18</v>
      </c>
      <c r="K20" s="6">
        <f>IF(J20="Paid", G20*H20*(1-I20/100), 0)</f>
        <v>22800</v>
      </c>
      <c r="L20" s="6">
        <f>IF(J20="Paid",G20*H20, 0)</f>
        <v>24000</v>
      </c>
      <c r="M20" s="6" t="str">
        <f t="shared" si="0"/>
        <v>March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3.2" x14ac:dyDescent="0.25">
      <c r="A21" s="4" t="s">
        <v>69</v>
      </c>
      <c r="B21" s="17">
        <v>45759</v>
      </c>
      <c r="C21" s="4" t="s">
        <v>70</v>
      </c>
      <c r="D21" s="4" t="s">
        <v>25</v>
      </c>
      <c r="E21" s="4" t="s">
        <v>54</v>
      </c>
      <c r="F21" s="5" t="s">
        <v>27</v>
      </c>
      <c r="G21" s="6">
        <v>4</v>
      </c>
      <c r="H21" s="20">
        <v>18000</v>
      </c>
      <c r="I21" s="13">
        <v>8</v>
      </c>
      <c r="J21" s="4" t="s">
        <v>18</v>
      </c>
      <c r="K21" s="6">
        <f>IF(J21="Paid", G21*H21*(1-I21/100), 0)</f>
        <v>66240</v>
      </c>
      <c r="L21" s="6">
        <f>IF(J21="Paid",G21*H21, 0)</f>
        <v>72000</v>
      </c>
      <c r="M21" s="6" t="str">
        <f t="shared" si="0"/>
        <v>April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3.2" x14ac:dyDescent="0.25">
      <c r="A22" s="4" t="s">
        <v>71</v>
      </c>
      <c r="B22" s="17">
        <v>45712</v>
      </c>
      <c r="C22" s="4" t="s">
        <v>72</v>
      </c>
      <c r="D22" s="4" t="s">
        <v>15</v>
      </c>
      <c r="E22" s="4" t="s">
        <v>16</v>
      </c>
      <c r="F22" s="5" t="s">
        <v>51</v>
      </c>
      <c r="G22" s="6">
        <v>3</v>
      </c>
      <c r="H22" s="20">
        <v>9500</v>
      </c>
      <c r="I22" s="13">
        <v>6</v>
      </c>
      <c r="J22" s="4" t="s">
        <v>18</v>
      </c>
      <c r="K22" s="6">
        <f>IF(J22="Paid", G22*H22*(1-I22/100), 0)</f>
        <v>26790</v>
      </c>
      <c r="L22" s="6">
        <f>IF(J22="Paid",G22*H22, 0)</f>
        <v>28500</v>
      </c>
      <c r="M22" s="6" t="str">
        <f t="shared" si="0"/>
        <v>February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3.2" x14ac:dyDescent="0.25">
      <c r="A23" s="4" t="s">
        <v>73</v>
      </c>
      <c r="B23" s="17">
        <v>45725</v>
      </c>
      <c r="C23" s="4" t="s">
        <v>74</v>
      </c>
      <c r="D23" s="4" t="s">
        <v>31</v>
      </c>
      <c r="E23" s="4" t="s">
        <v>21</v>
      </c>
      <c r="F23" s="5" t="s">
        <v>22</v>
      </c>
      <c r="G23" s="6">
        <v>4</v>
      </c>
      <c r="H23" s="20">
        <v>7500</v>
      </c>
      <c r="I23" s="13">
        <v>4</v>
      </c>
      <c r="J23" s="4" t="s">
        <v>28</v>
      </c>
      <c r="K23" s="6">
        <f>IF(J23="Paid", G23*H23*(1-I23/100), 0)</f>
        <v>0</v>
      </c>
      <c r="L23" s="6">
        <f>IF(J23="Paid",G23*H23, 0)</f>
        <v>0</v>
      </c>
      <c r="M23" s="6" t="str">
        <f t="shared" si="0"/>
        <v>March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3.2" x14ac:dyDescent="0.25">
      <c r="A24" s="4" t="s">
        <v>75</v>
      </c>
      <c r="B24" s="17">
        <v>45762</v>
      </c>
      <c r="C24" s="4" t="s">
        <v>76</v>
      </c>
      <c r="D24" s="4" t="s">
        <v>38</v>
      </c>
      <c r="E24" s="4" t="s">
        <v>16</v>
      </c>
      <c r="F24" s="5" t="s">
        <v>17</v>
      </c>
      <c r="G24" s="6">
        <v>2</v>
      </c>
      <c r="H24" s="20">
        <v>12000</v>
      </c>
      <c r="I24" s="13">
        <v>5</v>
      </c>
      <c r="J24" s="4" t="s">
        <v>18</v>
      </c>
      <c r="K24" s="6">
        <f>IF(J24="Paid", G24*H24*(1-I24/100), 0)</f>
        <v>22800</v>
      </c>
      <c r="L24" s="6">
        <f>IF(J24="Paid",G24*H24, 0)</f>
        <v>24000</v>
      </c>
      <c r="M24" s="6" t="str">
        <f t="shared" si="0"/>
        <v>April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3.2" x14ac:dyDescent="0.25">
      <c r="A25" s="4" t="s">
        <v>77</v>
      </c>
      <c r="B25" s="17">
        <v>45706</v>
      </c>
      <c r="C25" s="4" t="s">
        <v>78</v>
      </c>
      <c r="D25" s="4" t="s">
        <v>15</v>
      </c>
      <c r="E25" s="4" t="s">
        <v>39</v>
      </c>
      <c r="F25" s="5" t="s">
        <v>27</v>
      </c>
      <c r="G25" s="6">
        <v>3</v>
      </c>
      <c r="H25" s="20">
        <v>18000</v>
      </c>
      <c r="I25" s="13">
        <v>6</v>
      </c>
      <c r="J25" s="4" t="s">
        <v>18</v>
      </c>
      <c r="K25" s="6">
        <f>IF(J25="Paid", G25*H25*(1-I25/100), 0)</f>
        <v>50760</v>
      </c>
      <c r="L25" s="6">
        <f>IF(J25="Paid",G25*H25, 0)</f>
        <v>54000</v>
      </c>
      <c r="M25" s="6" t="str">
        <f t="shared" si="0"/>
        <v>February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3.2" x14ac:dyDescent="0.25">
      <c r="A26" s="4" t="s">
        <v>79</v>
      </c>
      <c r="B26" s="17">
        <v>45767</v>
      </c>
      <c r="C26" s="4" t="s">
        <v>80</v>
      </c>
      <c r="D26" s="4" t="s">
        <v>25</v>
      </c>
      <c r="E26" s="4" t="s">
        <v>42</v>
      </c>
      <c r="F26" s="5" t="s">
        <v>51</v>
      </c>
      <c r="G26" s="6">
        <v>5</v>
      </c>
      <c r="H26" s="20">
        <v>9500</v>
      </c>
      <c r="I26" s="13">
        <v>2</v>
      </c>
      <c r="J26" s="4" t="s">
        <v>47</v>
      </c>
      <c r="K26" s="6">
        <f>IF(J26="Paid", G26*H26*(1-I26/100), 0)</f>
        <v>0</v>
      </c>
      <c r="L26" s="6">
        <f>IF(J26="Paid",G26*H26, 0)</f>
        <v>0</v>
      </c>
      <c r="M26" s="6" t="str">
        <f t="shared" si="0"/>
        <v>April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3.2" x14ac:dyDescent="0.25">
      <c r="A27" s="4" t="s">
        <v>81</v>
      </c>
      <c r="B27" s="17">
        <v>45717</v>
      </c>
      <c r="C27" s="4" t="s">
        <v>82</v>
      </c>
      <c r="D27" s="4" t="s">
        <v>31</v>
      </c>
      <c r="E27" s="4" t="s">
        <v>16</v>
      </c>
      <c r="F27" s="5" t="s">
        <v>35</v>
      </c>
      <c r="G27" s="6">
        <v>1</v>
      </c>
      <c r="H27" s="20">
        <v>55000</v>
      </c>
      <c r="I27" s="13">
        <v>5</v>
      </c>
      <c r="J27" s="4" t="s">
        <v>18</v>
      </c>
      <c r="K27" s="6">
        <f>IF(J27="Paid", G27*H27*(1-I27/100), 0)</f>
        <v>52250</v>
      </c>
      <c r="L27" s="6">
        <f>IF(J27="Paid",G27*H27, 0)</f>
        <v>55000</v>
      </c>
      <c r="M27" s="6" t="str">
        <f t="shared" si="0"/>
        <v>March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2" x14ac:dyDescent="0.25">
      <c r="A28" s="4" t="s">
        <v>83</v>
      </c>
      <c r="B28" s="17">
        <v>45699</v>
      </c>
      <c r="C28" s="4" t="s">
        <v>84</v>
      </c>
      <c r="D28" s="4" t="s">
        <v>38</v>
      </c>
      <c r="E28" s="4" t="s">
        <v>26</v>
      </c>
      <c r="F28" s="5" t="s">
        <v>51</v>
      </c>
      <c r="G28" s="6">
        <v>2</v>
      </c>
      <c r="H28" s="20">
        <v>9500</v>
      </c>
      <c r="I28" s="13">
        <v>6</v>
      </c>
      <c r="J28" s="4" t="s">
        <v>18</v>
      </c>
      <c r="K28" s="6">
        <f>IF(J28="Paid", G28*H28*(1-I28/100), 0)</f>
        <v>17860</v>
      </c>
      <c r="L28" s="6">
        <f>IF(J28="Paid",G28*H28, 0)</f>
        <v>19000</v>
      </c>
      <c r="M28" s="6" t="str">
        <f t="shared" si="0"/>
        <v>February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2" x14ac:dyDescent="0.25">
      <c r="A29" s="4" t="s">
        <v>85</v>
      </c>
      <c r="B29" s="17">
        <v>45751</v>
      </c>
      <c r="C29" s="4" t="s">
        <v>86</v>
      </c>
      <c r="D29" s="4" t="s">
        <v>15</v>
      </c>
      <c r="E29" s="4" t="s">
        <v>68</v>
      </c>
      <c r="F29" s="5" t="s">
        <v>17</v>
      </c>
      <c r="G29" s="6">
        <v>3</v>
      </c>
      <c r="H29" s="20">
        <v>12000</v>
      </c>
      <c r="I29" s="13">
        <v>5</v>
      </c>
      <c r="J29" s="4" t="s">
        <v>18</v>
      </c>
      <c r="K29" s="6">
        <f>IF(J29="Paid", G29*H29*(1-I29/100), 0)</f>
        <v>34200</v>
      </c>
      <c r="L29" s="6">
        <f>IF(J29="Paid",G29*H29, 0)</f>
        <v>36000</v>
      </c>
      <c r="M29" s="6" t="str">
        <f t="shared" si="0"/>
        <v>April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2" x14ac:dyDescent="0.25">
      <c r="A30" s="4" t="s">
        <v>87</v>
      </c>
      <c r="B30" s="17">
        <v>45730</v>
      </c>
      <c r="C30" s="4" t="s">
        <v>88</v>
      </c>
      <c r="D30" s="4" t="s">
        <v>25</v>
      </c>
      <c r="E30" s="4" t="s">
        <v>42</v>
      </c>
      <c r="F30" s="5" t="s">
        <v>27</v>
      </c>
      <c r="G30" s="6">
        <v>7</v>
      </c>
      <c r="H30" s="20">
        <v>18000</v>
      </c>
      <c r="I30" s="13">
        <v>4</v>
      </c>
      <c r="J30" s="4" t="s">
        <v>18</v>
      </c>
      <c r="K30" s="6">
        <f>IF(J30="Paid", G30*H30*(1-I30/100), 0)</f>
        <v>120960</v>
      </c>
      <c r="L30" s="6">
        <f>IF(J30="Paid",G30*H30, 0)</f>
        <v>126000</v>
      </c>
      <c r="M30" s="6" t="str">
        <f t="shared" si="0"/>
        <v>March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3.2" x14ac:dyDescent="0.25">
      <c r="A31" s="4" t="s">
        <v>89</v>
      </c>
      <c r="B31" s="17">
        <v>45715</v>
      </c>
      <c r="C31" s="4" t="s">
        <v>90</v>
      </c>
      <c r="D31" s="4" t="s">
        <v>31</v>
      </c>
      <c r="E31" s="4" t="s">
        <v>16</v>
      </c>
      <c r="F31" s="5" t="s">
        <v>22</v>
      </c>
      <c r="G31" s="6">
        <v>2</v>
      </c>
      <c r="H31" s="20">
        <v>7500</v>
      </c>
      <c r="I31" s="13">
        <v>6</v>
      </c>
      <c r="J31" s="4" t="s">
        <v>18</v>
      </c>
      <c r="K31" s="6">
        <f>IF(J31="Paid", G31*H31*(1-I31/100), 0)</f>
        <v>14100</v>
      </c>
      <c r="L31" s="6">
        <f>IF(J31="Paid",G31*H31, 0)</f>
        <v>15000</v>
      </c>
      <c r="M31" s="6" t="str">
        <f t="shared" si="0"/>
        <v>February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3.2" x14ac:dyDescent="0.25">
      <c r="A32" s="4" t="s">
        <v>91</v>
      </c>
      <c r="B32" s="17">
        <v>45746</v>
      </c>
      <c r="C32" s="4" t="s">
        <v>92</v>
      </c>
      <c r="D32" s="4" t="s">
        <v>15</v>
      </c>
      <c r="E32" s="4" t="s">
        <v>42</v>
      </c>
      <c r="F32" s="5" t="s">
        <v>35</v>
      </c>
      <c r="G32" s="6">
        <v>2</v>
      </c>
      <c r="H32" s="20">
        <v>55000</v>
      </c>
      <c r="I32" s="13">
        <v>6</v>
      </c>
      <c r="J32" s="4" t="s">
        <v>18</v>
      </c>
      <c r="K32" s="6">
        <f>IF(J32="Paid", G32*H32*(1-I32/100), 0)</f>
        <v>103400</v>
      </c>
      <c r="L32" s="6">
        <f>IF(J32="Paid",G32*H32, 0)</f>
        <v>110000</v>
      </c>
      <c r="M32" s="6" t="str">
        <f t="shared" si="0"/>
        <v>March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3.2" x14ac:dyDescent="0.25">
      <c r="A33" s="4" t="s">
        <v>93</v>
      </c>
      <c r="B33" s="17">
        <v>45694</v>
      </c>
      <c r="C33" s="4" t="s">
        <v>94</v>
      </c>
      <c r="D33" s="4" t="s">
        <v>38</v>
      </c>
      <c r="E33" s="4" t="s">
        <v>21</v>
      </c>
      <c r="F33" s="5" t="s">
        <v>17</v>
      </c>
      <c r="G33" s="6">
        <v>1</v>
      </c>
      <c r="H33" s="20">
        <v>12000</v>
      </c>
      <c r="I33" s="13">
        <v>3</v>
      </c>
      <c r="J33" s="4" t="s">
        <v>18</v>
      </c>
      <c r="K33" s="6">
        <f>IF(J33="Paid", G33*H33*(1-I33/100), 0)</f>
        <v>11640</v>
      </c>
      <c r="L33" s="6">
        <f>IF(J33="Paid",G33*H33, 0)</f>
        <v>12000</v>
      </c>
      <c r="M33" s="6" t="str">
        <f t="shared" si="0"/>
        <v>February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3.2" x14ac:dyDescent="0.25">
      <c r="A34" s="4" t="s">
        <v>95</v>
      </c>
      <c r="B34" s="17">
        <v>45738</v>
      </c>
      <c r="C34" s="4" t="s">
        <v>96</v>
      </c>
      <c r="D34" s="4" t="s">
        <v>31</v>
      </c>
      <c r="E34" s="4" t="s">
        <v>16</v>
      </c>
      <c r="F34" s="5" t="s">
        <v>27</v>
      </c>
      <c r="G34" s="6">
        <v>3</v>
      </c>
      <c r="H34" s="20">
        <v>18000</v>
      </c>
      <c r="I34" s="13">
        <v>5</v>
      </c>
      <c r="J34" s="4" t="s">
        <v>18</v>
      </c>
      <c r="K34" s="6">
        <f>IF(J34="Paid", G34*H34*(1-I34/100), 0)</f>
        <v>51300</v>
      </c>
      <c r="L34" s="6">
        <f>IF(J34="Paid",G34*H34, 0)</f>
        <v>54000</v>
      </c>
      <c r="M34" s="6" t="str">
        <f t="shared" si="0"/>
        <v>March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3.2" x14ac:dyDescent="0.25">
      <c r="A35" s="4" t="s">
        <v>97</v>
      </c>
      <c r="B35" s="17">
        <v>45757</v>
      </c>
      <c r="C35" s="4" t="s">
        <v>98</v>
      </c>
      <c r="D35" s="4" t="s">
        <v>15</v>
      </c>
      <c r="E35" s="4" t="s">
        <v>39</v>
      </c>
      <c r="F35" s="5" t="s">
        <v>51</v>
      </c>
      <c r="G35" s="6">
        <v>4</v>
      </c>
      <c r="H35" s="20">
        <v>9500</v>
      </c>
      <c r="I35" s="13">
        <v>7</v>
      </c>
      <c r="J35" s="4" t="s">
        <v>28</v>
      </c>
      <c r="K35" s="6">
        <f>IF(J35="Paid", G35*H35*(1-I35/100), 0)</f>
        <v>0</v>
      </c>
      <c r="L35" s="6">
        <f>IF(J35="Paid",G35*H35, 0)</f>
        <v>0</v>
      </c>
      <c r="M35" s="6" t="str">
        <f t="shared" si="0"/>
        <v>April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3.2" x14ac:dyDescent="0.25">
      <c r="A36" s="4" t="s">
        <v>99</v>
      </c>
      <c r="B36" s="17">
        <v>45732</v>
      </c>
      <c r="C36" s="4" t="s">
        <v>100</v>
      </c>
      <c r="D36" s="4" t="s">
        <v>25</v>
      </c>
      <c r="E36" s="4" t="s">
        <v>16</v>
      </c>
      <c r="F36" s="5" t="s">
        <v>17</v>
      </c>
      <c r="G36" s="6">
        <v>2</v>
      </c>
      <c r="H36" s="20">
        <v>12000</v>
      </c>
      <c r="I36" s="13">
        <v>6</v>
      </c>
      <c r="J36" s="4" t="s">
        <v>18</v>
      </c>
      <c r="K36" s="6">
        <f>IF(J36="Paid", G36*H36*(1-I36/100), 0)</f>
        <v>22560</v>
      </c>
      <c r="L36" s="6">
        <f>IF(J36="Paid",G36*H36, 0)</f>
        <v>24000</v>
      </c>
      <c r="M36" s="6" t="str">
        <f t="shared" si="0"/>
        <v>March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3.2" x14ac:dyDescent="0.25">
      <c r="A37" s="4" t="s">
        <v>101</v>
      </c>
      <c r="B37" s="17">
        <v>45752</v>
      </c>
      <c r="C37" s="4" t="s">
        <v>102</v>
      </c>
      <c r="D37" s="4" t="s">
        <v>38</v>
      </c>
      <c r="E37" s="4" t="s">
        <v>42</v>
      </c>
      <c r="F37" s="5" t="s">
        <v>27</v>
      </c>
      <c r="G37" s="6">
        <v>3</v>
      </c>
      <c r="H37" s="20">
        <v>18000</v>
      </c>
      <c r="I37" s="13">
        <v>5</v>
      </c>
      <c r="J37" s="4" t="s">
        <v>18</v>
      </c>
      <c r="K37" s="6">
        <f>IF(J37="Paid", G37*H37*(1-I37/100), 0)</f>
        <v>51300</v>
      </c>
      <c r="L37" s="6">
        <f>IF(J37="Paid",G37*H37, 0)</f>
        <v>54000</v>
      </c>
      <c r="M37" s="6" t="str">
        <f t="shared" si="0"/>
        <v>April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3.2" x14ac:dyDescent="0.25">
      <c r="A38" s="4" t="s">
        <v>103</v>
      </c>
      <c r="B38" s="17">
        <v>45714</v>
      </c>
      <c r="C38" s="4" t="s">
        <v>104</v>
      </c>
      <c r="D38" s="4" t="s">
        <v>15</v>
      </c>
      <c r="E38" s="4" t="s">
        <v>16</v>
      </c>
      <c r="F38" s="5" t="s">
        <v>35</v>
      </c>
      <c r="G38" s="6">
        <v>2</v>
      </c>
      <c r="H38" s="20">
        <v>55000</v>
      </c>
      <c r="I38" s="13">
        <v>7</v>
      </c>
      <c r="J38" s="4" t="s">
        <v>18</v>
      </c>
      <c r="K38" s="6">
        <f>IF(J38="Paid", G38*H38*(1-I38/100), 0)</f>
        <v>102300</v>
      </c>
      <c r="L38" s="6">
        <f>IF(J38="Paid",G38*H38, 0)</f>
        <v>110000</v>
      </c>
      <c r="M38" s="6" t="str">
        <f t="shared" si="0"/>
        <v>February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3.2" x14ac:dyDescent="0.25">
      <c r="A39" s="4" t="s">
        <v>105</v>
      </c>
      <c r="B39" s="17">
        <v>45724</v>
      </c>
      <c r="C39" s="4" t="s">
        <v>106</v>
      </c>
      <c r="D39" s="4" t="s">
        <v>31</v>
      </c>
      <c r="E39" s="4" t="s">
        <v>39</v>
      </c>
      <c r="F39" s="5" t="s">
        <v>22</v>
      </c>
      <c r="G39" s="6">
        <v>1</v>
      </c>
      <c r="H39" s="20">
        <v>7500</v>
      </c>
      <c r="I39" s="13">
        <v>4</v>
      </c>
      <c r="J39" s="4" t="s">
        <v>18</v>
      </c>
      <c r="K39" s="6">
        <f>IF(J39="Paid", G39*H39*(1-I39/100), 0)</f>
        <v>7200</v>
      </c>
      <c r="L39" s="6">
        <f>IF(J39="Paid",G39*H39, 0)</f>
        <v>7500</v>
      </c>
      <c r="M39" s="6" t="str">
        <f t="shared" si="0"/>
        <v>March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3.2" x14ac:dyDescent="0.25">
      <c r="A40" s="4" t="s">
        <v>107</v>
      </c>
      <c r="B40" s="17">
        <v>45705</v>
      </c>
      <c r="C40" s="4" t="s">
        <v>108</v>
      </c>
      <c r="D40" s="4" t="s">
        <v>25</v>
      </c>
      <c r="E40" s="4" t="s">
        <v>21</v>
      </c>
      <c r="F40" s="5" t="s">
        <v>51</v>
      </c>
      <c r="G40" s="6">
        <v>2</v>
      </c>
      <c r="H40" s="20">
        <v>9500</v>
      </c>
      <c r="I40" s="13">
        <v>3</v>
      </c>
      <c r="J40" s="4" t="s">
        <v>28</v>
      </c>
      <c r="K40" s="6">
        <f>IF(J40="Paid", G40*H40*(1-I40/100), 0)</f>
        <v>0</v>
      </c>
      <c r="L40" s="6">
        <f>IF(J40="Paid",G40*H40, 0)</f>
        <v>0</v>
      </c>
      <c r="M40" s="6" t="str">
        <f t="shared" si="0"/>
        <v>February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3.2" x14ac:dyDescent="0.25">
      <c r="A41" s="4" t="s">
        <v>109</v>
      </c>
      <c r="B41" s="17">
        <v>45748</v>
      </c>
      <c r="C41" s="4" t="s">
        <v>110</v>
      </c>
      <c r="D41" s="4" t="s">
        <v>15</v>
      </c>
      <c r="E41" s="4" t="s">
        <v>16</v>
      </c>
      <c r="F41" s="5" t="s">
        <v>27</v>
      </c>
      <c r="G41" s="6">
        <v>4</v>
      </c>
      <c r="H41" s="20">
        <v>18000</v>
      </c>
      <c r="I41" s="13">
        <v>8</v>
      </c>
      <c r="J41" s="4" t="s">
        <v>18</v>
      </c>
      <c r="K41" s="6">
        <f>IF(J41="Paid", G41*H41*(1-I41/100), 0)</f>
        <v>66240</v>
      </c>
      <c r="L41" s="6">
        <f>IF(J41="Paid",G41*H41, 0)</f>
        <v>72000</v>
      </c>
      <c r="M41" s="6" t="str">
        <f t="shared" si="0"/>
        <v>April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3.2" x14ac:dyDescent="0.25">
      <c r="A42" s="4" t="s">
        <v>111</v>
      </c>
      <c r="B42" s="17">
        <v>45699</v>
      </c>
      <c r="C42" s="4" t="s">
        <v>30</v>
      </c>
      <c r="D42" s="4" t="s">
        <v>31</v>
      </c>
      <c r="E42" s="4" t="s">
        <v>42</v>
      </c>
      <c r="F42" s="5" t="s">
        <v>17</v>
      </c>
      <c r="G42" s="6">
        <v>3</v>
      </c>
      <c r="H42" s="20">
        <v>12000</v>
      </c>
      <c r="I42" s="13">
        <v>5</v>
      </c>
      <c r="J42" s="4" t="s">
        <v>18</v>
      </c>
      <c r="K42" s="6">
        <f>IF(J42="Paid", G42*H42*(1-I42/100), 0)</f>
        <v>34200</v>
      </c>
      <c r="L42" s="6">
        <f>IF(J42="Paid",G42*H42, 0)</f>
        <v>36000</v>
      </c>
      <c r="M42" s="6" t="str">
        <f t="shared" si="0"/>
        <v>February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3.2" x14ac:dyDescent="0.25">
      <c r="A43" s="4" t="s">
        <v>112</v>
      </c>
      <c r="B43" s="17">
        <v>45719</v>
      </c>
      <c r="C43" s="4" t="s">
        <v>113</v>
      </c>
      <c r="D43" s="4" t="s">
        <v>38</v>
      </c>
      <c r="E43" s="4" t="s">
        <v>114</v>
      </c>
      <c r="F43" s="5" t="s">
        <v>27</v>
      </c>
      <c r="G43" s="6">
        <v>5</v>
      </c>
      <c r="H43" s="20">
        <v>18000</v>
      </c>
      <c r="I43" s="13">
        <v>6</v>
      </c>
      <c r="J43" s="4" t="s">
        <v>47</v>
      </c>
      <c r="K43" s="6">
        <f>IF(J43="Paid", G43*H43*(1-I43/100), 0)</f>
        <v>0</v>
      </c>
      <c r="L43" s="6">
        <f>IF(J43="Paid",G43*H43, 0)</f>
        <v>0</v>
      </c>
      <c r="M43" s="6" t="str">
        <f t="shared" si="0"/>
        <v>March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3.2" x14ac:dyDescent="0.25">
      <c r="A44" s="4" t="s">
        <v>115</v>
      </c>
      <c r="B44" s="17">
        <v>45745</v>
      </c>
      <c r="C44" s="4" t="s">
        <v>116</v>
      </c>
      <c r="D44" s="4" t="s">
        <v>25</v>
      </c>
      <c r="E44" s="4" t="s">
        <v>34</v>
      </c>
      <c r="F44" s="5" t="s">
        <v>35</v>
      </c>
      <c r="G44" s="6">
        <v>2</v>
      </c>
      <c r="H44" s="20">
        <v>55000</v>
      </c>
      <c r="I44" s="13">
        <v>5</v>
      </c>
      <c r="J44" s="4" t="s">
        <v>18</v>
      </c>
      <c r="K44" s="6">
        <f>IF(J44="Paid", G44*H44*(1-I44/100), 0)</f>
        <v>104500</v>
      </c>
      <c r="L44" s="6">
        <f>IF(J44="Paid",G44*H44, 0)</f>
        <v>110000</v>
      </c>
      <c r="M44" s="6" t="str">
        <f t="shared" si="0"/>
        <v>March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3.2" x14ac:dyDescent="0.25">
      <c r="A45" s="4" t="s">
        <v>117</v>
      </c>
      <c r="B45" s="17">
        <v>45753</v>
      </c>
      <c r="C45" s="4" t="s">
        <v>118</v>
      </c>
      <c r="D45" s="4" t="s">
        <v>15</v>
      </c>
      <c r="E45" s="4" t="s">
        <v>68</v>
      </c>
      <c r="F45" s="5" t="s">
        <v>22</v>
      </c>
      <c r="G45" s="6">
        <v>2</v>
      </c>
      <c r="H45" s="20">
        <v>7500</v>
      </c>
      <c r="I45" s="13">
        <v>6</v>
      </c>
      <c r="J45" s="4" t="s">
        <v>18</v>
      </c>
      <c r="K45" s="6">
        <f>IF(J45="Paid", G45*H45*(1-I45/100), 0)</f>
        <v>14100</v>
      </c>
      <c r="L45" s="6">
        <f>IF(J45="Paid",G45*H45, 0)</f>
        <v>15000</v>
      </c>
      <c r="M45" s="6" t="str">
        <f t="shared" si="0"/>
        <v>April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3.2" x14ac:dyDescent="0.25">
      <c r="A46" s="4" t="s">
        <v>119</v>
      </c>
      <c r="B46" s="17">
        <v>45711</v>
      </c>
      <c r="C46" s="4" t="s">
        <v>120</v>
      </c>
      <c r="D46" s="4" t="s">
        <v>31</v>
      </c>
      <c r="E46" s="4" t="s">
        <v>42</v>
      </c>
      <c r="F46" s="5" t="s">
        <v>27</v>
      </c>
      <c r="G46" s="6">
        <v>4</v>
      </c>
      <c r="H46" s="20">
        <v>18000</v>
      </c>
      <c r="I46" s="13">
        <v>8</v>
      </c>
      <c r="J46" s="4" t="s">
        <v>18</v>
      </c>
      <c r="K46" s="6">
        <f>IF(J46="Paid", G46*H46*(1-I46/100), 0)</f>
        <v>66240</v>
      </c>
      <c r="L46" s="6">
        <f>IF(J46="Paid",G46*H46, 0)</f>
        <v>72000</v>
      </c>
      <c r="M46" s="6" t="str">
        <f t="shared" si="0"/>
        <v>February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3.2" x14ac:dyDescent="0.25">
      <c r="A47" s="4" t="s">
        <v>123</v>
      </c>
      <c r="B47" s="17">
        <v>45747</v>
      </c>
      <c r="C47" s="4" t="s">
        <v>124</v>
      </c>
      <c r="D47" s="4" t="s">
        <v>38</v>
      </c>
      <c r="E47" s="4" t="s">
        <v>16</v>
      </c>
      <c r="F47" s="5" t="s">
        <v>17</v>
      </c>
      <c r="G47" s="6">
        <v>2</v>
      </c>
      <c r="H47" s="20">
        <v>12000</v>
      </c>
      <c r="I47" s="13">
        <v>5</v>
      </c>
      <c r="J47" s="4" t="s">
        <v>18</v>
      </c>
      <c r="K47" s="6">
        <f>IF(J47="Paid", G47*H47*(1-I47/100), 0)</f>
        <v>22800</v>
      </c>
      <c r="L47" s="6">
        <f>IF(J47="Paid",G47*H47, 0)</f>
        <v>24000</v>
      </c>
      <c r="M47" s="6" t="str">
        <f t="shared" si="0"/>
        <v>March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3.2" x14ac:dyDescent="0.25">
      <c r="A48" s="4" t="s">
        <v>125</v>
      </c>
      <c r="B48" s="17">
        <v>45702</v>
      </c>
      <c r="C48" s="4" t="s">
        <v>24</v>
      </c>
      <c r="D48" s="4" t="s">
        <v>25</v>
      </c>
      <c r="E48" s="4" t="s">
        <v>42</v>
      </c>
      <c r="F48" s="5" t="s">
        <v>35</v>
      </c>
      <c r="G48" s="6">
        <v>5</v>
      </c>
      <c r="H48" s="20">
        <v>55000</v>
      </c>
      <c r="I48" s="13">
        <v>7</v>
      </c>
      <c r="J48" s="4" t="s">
        <v>18</v>
      </c>
      <c r="K48" s="6">
        <f>IF(J48="Paid", G48*H48*(1-I48/100), 0)</f>
        <v>255749.99999999997</v>
      </c>
      <c r="L48" s="6">
        <f>IF(J48="Paid",G48*H48, 0)</f>
        <v>275000</v>
      </c>
      <c r="M48" s="6" t="str">
        <f t="shared" si="0"/>
        <v>February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3.2" x14ac:dyDescent="0.25">
      <c r="A49" s="4" t="s">
        <v>126</v>
      </c>
      <c r="B49" s="17">
        <v>45716</v>
      </c>
      <c r="C49" s="4" t="s">
        <v>127</v>
      </c>
      <c r="D49" s="4" t="s">
        <v>15</v>
      </c>
      <c r="E49" s="4" t="s">
        <v>21</v>
      </c>
      <c r="F49" s="5" t="s">
        <v>51</v>
      </c>
      <c r="G49" s="6">
        <v>3</v>
      </c>
      <c r="H49" s="20">
        <v>9500</v>
      </c>
      <c r="I49" s="13">
        <v>4</v>
      </c>
      <c r="J49" s="4" t="s">
        <v>18</v>
      </c>
      <c r="K49" s="6">
        <f>IF(J49="Paid", G49*H49*(1-I49/100), 0)</f>
        <v>27360</v>
      </c>
      <c r="L49" s="6">
        <f>IF(J49="Paid",G49*H49, 0)</f>
        <v>28500</v>
      </c>
      <c r="M49" s="6" t="str">
        <f t="shared" si="0"/>
        <v>February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3.2" x14ac:dyDescent="0.25">
      <c r="A50" s="4" t="s">
        <v>128</v>
      </c>
      <c r="B50" s="17">
        <v>45737</v>
      </c>
      <c r="C50" s="4" t="s">
        <v>129</v>
      </c>
      <c r="D50" s="4" t="s">
        <v>31</v>
      </c>
      <c r="E50" s="4" t="s">
        <v>16</v>
      </c>
      <c r="F50" s="5" t="s">
        <v>27</v>
      </c>
      <c r="G50" s="6">
        <v>6</v>
      </c>
      <c r="H50" s="20">
        <v>18000</v>
      </c>
      <c r="I50" s="13">
        <v>5</v>
      </c>
      <c r="J50" s="4" t="s">
        <v>18</v>
      </c>
      <c r="K50" s="6">
        <f>IF(J50="Paid", G50*H50*(1-I50/100), 0)</f>
        <v>102600</v>
      </c>
      <c r="L50" s="6">
        <f>IF(J50="Paid",G50*H50, 0)</f>
        <v>108000</v>
      </c>
      <c r="M50" s="6" t="str">
        <f t="shared" si="0"/>
        <v>March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3.2" x14ac:dyDescent="0.25">
      <c r="A51" s="4" t="s">
        <v>130</v>
      </c>
      <c r="B51" s="17">
        <v>45721</v>
      </c>
      <c r="C51" s="4" t="s">
        <v>131</v>
      </c>
      <c r="D51" s="4" t="s">
        <v>38</v>
      </c>
      <c r="E51" s="4" t="s">
        <v>39</v>
      </c>
      <c r="F51" s="5" t="s">
        <v>35</v>
      </c>
      <c r="G51" s="6">
        <v>1</v>
      </c>
      <c r="H51" s="20">
        <v>55000</v>
      </c>
      <c r="I51" s="13">
        <v>6</v>
      </c>
      <c r="J51" s="4" t="s">
        <v>18</v>
      </c>
      <c r="K51" s="6">
        <f>IF(J51="Paid", G51*H51*(1-I51/100), 0)</f>
        <v>51700</v>
      </c>
      <c r="L51" s="6">
        <f>IF(J51="Paid",G51*H51, 0)</f>
        <v>55000</v>
      </c>
      <c r="M51" s="6" t="str">
        <f t="shared" si="0"/>
        <v>March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3.2" x14ac:dyDescent="0.25">
      <c r="A52" s="4" t="s">
        <v>132</v>
      </c>
      <c r="B52" s="17">
        <v>45759</v>
      </c>
      <c r="C52" s="4" t="s">
        <v>20</v>
      </c>
      <c r="D52" s="4" t="s">
        <v>15</v>
      </c>
      <c r="E52" s="4" t="s">
        <v>114</v>
      </c>
      <c r="F52" s="5" t="s">
        <v>27</v>
      </c>
      <c r="G52" s="6">
        <v>5</v>
      </c>
      <c r="H52" s="20">
        <v>18000</v>
      </c>
      <c r="I52" s="13">
        <v>3</v>
      </c>
      <c r="J52" s="4" t="s">
        <v>18</v>
      </c>
      <c r="K52" s="6">
        <f>IF(J52="Paid", G52*H52*(1-I52/100), 0)</f>
        <v>87300</v>
      </c>
      <c r="L52" s="6">
        <f>IF(J52="Paid",G52*H52, 0)</f>
        <v>90000</v>
      </c>
      <c r="M52" s="6" t="str">
        <f t="shared" si="0"/>
        <v>April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3.2" x14ac:dyDescent="0.25">
      <c r="A53" s="4" t="s">
        <v>133</v>
      </c>
      <c r="B53" s="17">
        <v>45772</v>
      </c>
      <c r="C53" s="4" t="s">
        <v>134</v>
      </c>
      <c r="D53" s="4" t="s">
        <v>31</v>
      </c>
      <c r="E53" s="4" t="s">
        <v>42</v>
      </c>
      <c r="F53" s="5" t="s">
        <v>17</v>
      </c>
      <c r="G53" s="6">
        <v>1</v>
      </c>
      <c r="H53" s="20">
        <v>12000</v>
      </c>
      <c r="I53" s="13">
        <v>5</v>
      </c>
      <c r="J53" s="4" t="s">
        <v>18</v>
      </c>
      <c r="K53" s="6">
        <f>IF(J53="Paid", G53*H53*(1-I53/100), 0)</f>
        <v>11400</v>
      </c>
      <c r="L53" s="6">
        <f>IF(J53="Paid",G53*H53, 0)</f>
        <v>12000</v>
      </c>
      <c r="M53" s="6" t="str">
        <f t="shared" si="0"/>
        <v>April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3.2" x14ac:dyDescent="0.25">
      <c r="A54" s="4" t="s">
        <v>135</v>
      </c>
      <c r="B54" s="17">
        <v>45696</v>
      </c>
      <c r="C54" s="4" t="s">
        <v>44</v>
      </c>
      <c r="D54" s="4" t="s">
        <v>38</v>
      </c>
      <c r="E54" s="4" t="s">
        <v>39</v>
      </c>
      <c r="F54" s="5" t="s">
        <v>27</v>
      </c>
      <c r="G54" s="6">
        <v>6</v>
      </c>
      <c r="H54" s="20">
        <v>18000</v>
      </c>
      <c r="I54" s="13">
        <v>8</v>
      </c>
      <c r="J54" s="4" t="s">
        <v>18</v>
      </c>
      <c r="K54" s="6">
        <f>IF(J54="Paid", G54*H54*(1-I54/100), 0)</f>
        <v>99360</v>
      </c>
      <c r="L54" s="6">
        <f>IF(J54="Paid",G54*H54, 0)</f>
        <v>108000</v>
      </c>
      <c r="M54" s="6" t="str">
        <f t="shared" si="0"/>
        <v>February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3.2" x14ac:dyDescent="0.25">
      <c r="A55" s="4" t="s">
        <v>136</v>
      </c>
      <c r="B55" s="17">
        <v>45735</v>
      </c>
      <c r="C55" s="4" t="s">
        <v>137</v>
      </c>
      <c r="D55" s="4" t="s">
        <v>15</v>
      </c>
      <c r="E55" s="4" t="s">
        <v>16</v>
      </c>
      <c r="F55" s="5" t="s">
        <v>51</v>
      </c>
      <c r="G55" s="6">
        <v>2</v>
      </c>
      <c r="H55" s="20">
        <v>9500</v>
      </c>
      <c r="I55" s="13">
        <v>6</v>
      </c>
      <c r="J55" s="4" t="s">
        <v>18</v>
      </c>
      <c r="K55" s="6">
        <f>IF(J55="Paid", G55*H55*(1-I55/100), 0)</f>
        <v>17860</v>
      </c>
      <c r="L55" s="6">
        <f>IF(J55="Paid",G55*H55, 0)</f>
        <v>19000</v>
      </c>
      <c r="M55" s="6" t="str">
        <f t="shared" si="0"/>
        <v>March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3.2" x14ac:dyDescent="0.25">
      <c r="A56" s="4" t="s">
        <v>138</v>
      </c>
      <c r="B56" s="17">
        <v>45718</v>
      </c>
      <c r="C56" s="4" t="s">
        <v>139</v>
      </c>
      <c r="D56" s="4" t="s">
        <v>31</v>
      </c>
      <c r="E56" s="4" t="s">
        <v>21</v>
      </c>
      <c r="F56" s="5" t="s">
        <v>22</v>
      </c>
      <c r="G56" s="6">
        <v>6</v>
      </c>
      <c r="H56" s="20">
        <v>7500</v>
      </c>
      <c r="I56" s="13">
        <v>5</v>
      </c>
      <c r="J56" s="4" t="s">
        <v>28</v>
      </c>
      <c r="K56" s="6">
        <f>IF(J56="Paid", G56*H56*(1-I56/100), 0)</f>
        <v>0</v>
      </c>
      <c r="L56" s="6">
        <f>IF(J56="Paid",G56*H56, 0)</f>
        <v>0</v>
      </c>
      <c r="M56" s="6" t="str">
        <f t="shared" si="0"/>
        <v>March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3.2" x14ac:dyDescent="0.25">
      <c r="A57" s="4" t="s">
        <v>140</v>
      </c>
      <c r="B57" s="17">
        <v>45756</v>
      </c>
      <c r="C57" s="4" t="s">
        <v>16</v>
      </c>
      <c r="D57" s="4" t="s">
        <v>25</v>
      </c>
      <c r="E57" s="4" t="s">
        <v>42</v>
      </c>
      <c r="F57" s="5" t="s">
        <v>27</v>
      </c>
      <c r="G57" s="6">
        <v>4</v>
      </c>
      <c r="H57" s="20">
        <v>18000</v>
      </c>
      <c r="I57" s="13">
        <v>6</v>
      </c>
      <c r="J57" s="4" t="s">
        <v>18</v>
      </c>
      <c r="K57" s="6">
        <f>IF(J57="Paid", G57*H57*(1-I57/100), 0)</f>
        <v>67680</v>
      </c>
      <c r="L57" s="6">
        <f>IF(J57="Paid",G57*H57, 0)</f>
        <v>72000</v>
      </c>
      <c r="M57" s="6" t="str">
        <f t="shared" si="0"/>
        <v>April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3.2" x14ac:dyDescent="0.25">
      <c r="A58" s="4" t="s">
        <v>141</v>
      </c>
      <c r="B58" s="17">
        <v>45705</v>
      </c>
      <c r="C58" s="4" t="s">
        <v>59</v>
      </c>
      <c r="D58" s="4" t="s">
        <v>15</v>
      </c>
      <c r="E58" s="4" t="s">
        <v>16</v>
      </c>
      <c r="F58" s="5" t="s">
        <v>17</v>
      </c>
      <c r="G58" s="6">
        <v>2</v>
      </c>
      <c r="H58" s="20">
        <v>12000</v>
      </c>
      <c r="I58" s="13">
        <v>4</v>
      </c>
      <c r="J58" s="4" t="s">
        <v>18</v>
      </c>
      <c r="K58" s="6">
        <f>IF(J58="Paid", G58*H58*(1-I58/100), 0)</f>
        <v>23040</v>
      </c>
      <c r="L58" s="6">
        <f>IF(J58="Paid",G58*H58, 0)</f>
        <v>24000</v>
      </c>
      <c r="M58" s="6" t="str">
        <f t="shared" si="0"/>
        <v>February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3.2" x14ac:dyDescent="0.25">
      <c r="A59" s="4" t="s">
        <v>142</v>
      </c>
      <c r="B59" s="17">
        <v>45708</v>
      </c>
      <c r="C59" s="4" t="s">
        <v>53</v>
      </c>
      <c r="D59" s="4" t="s">
        <v>31</v>
      </c>
      <c r="E59" s="4" t="s">
        <v>39</v>
      </c>
      <c r="F59" s="5" t="s">
        <v>35</v>
      </c>
      <c r="G59" s="6">
        <v>3</v>
      </c>
      <c r="H59" s="20">
        <v>55000</v>
      </c>
      <c r="I59" s="13">
        <v>6</v>
      </c>
      <c r="J59" s="4" t="s">
        <v>18</v>
      </c>
      <c r="K59" s="6">
        <f>IF(J59="Paid", G59*H59*(1-I59/100), 0)</f>
        <v>155100</v>
      </c>
      <c r="L59" s="6">
        <f>IF(J59="Paid",G59*H59, 0)</f>
        <v>165000</v>
      </c>
      <c r="M59" s="6" t="str">
        <f t="shared" si="0"/>
        <v>February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3.2" x14ac:dyDescent="0.25">
      <c r="A60" s="4" t="s">
        <v>143</v>
      </c>
      <c r="B60" s="17">
        <v>45740</v>
      </c>
      <c r="C60" s="4" t="s">
        <v>144</v>
      </c>
      <c r="D60" s="4" t="s">
        <v>38</v>
      </c>
      <c r="E60" s="4" t="s">
        <v>42</v>
      </c>
      <c r="F60" s="5" t="s">
        <v>51</v>
      </c>
      <c r="G60" s="6">
        <v>1</v>
      </c>
      <c r="H60" s="20">
        <v>9500</v>
      </c>
      <c r="I60" s="13">
        <v>3</v>
      </c>
      <c r="J60" s="4" t="s">
        <v>18</v>
      </c>
      <c r="K60" s="6">
        <f>IF(J60="Paid", G60*H60*(1-I60/100), 0)</f>
        <v>9215</v>
      </c>
      <c r="L60" s="6">
        <f>IF(J60="Paid",G60*H60, 0)</f>
        <v>9500</v>
      </c>
      <c r="M60" s="6" t="str">
        <f t="shared" si="0"/>
        <v>March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3.2" x14ac:dyDescent="0.25">
      <c r="A61" s="4" t="s">
        <v>145</v>
      </c>
      <c r="B61" s="17">
        <v>45701</v>
      </c>
      <c r="C61" s="4" t="s">
        <v>50</v>
      </c>
      <c r="D61" s="4" t="s">
        <v>15</v>
      </c>
      <c r="E61" s="4" t="s">
        <v>16</v>
      </c>
      <c r="F61" s="5" t="s">
        <v>27</v>
      </c>
      <c r="G61" s="6">
        <v>2</v>
      </c>
      <c r="H61" s="20">
        <v>18000</v>
      </c>
      <c r="I61" s="13">
        <v>5</v>
      </c>
      <c r="J61" s="4" t="s">
        <v>18</v>
      </c>
      <c r="K61" s="6">
        <f>IF(J61="Paid", G61*H61*(1-I61/100), 0)</f>
        <v>34200</v>
      </c>
      <c r="L61" s="6">
        <f>IF(J61="Paid",G61*H61, 0)</f>
        <v>36000</v>
      </c>
      <c r="M61" s="6" t="str">
        <f t="shared" si="0"/>
        <v>February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3.2" x14ac:dyDescent="0.25">
      <c r="A62" s="4" t="s">
        <v>146</v>
      </c>
      <c r="B62" s="17">
        <v>45749</v>
      </c>
      <c r="C62" s="4" t="s">
        <v>74</v>
      </c>
      <c r="D62" s="4" t="s">
        <v>25</v>
      </c>
      <c r="E62" s="4" t="s">
        <v>39</v>
      </c>
      <c r="F62" s="5" t="s">
        <v>17</v>
      </c>
      <c r="G62" s="6">
        <v>3</v>
      </c>
      <c r="H62" s="20">
        <v>12000</v>
      </c>
      <c r="I62" s="13">
        <v>5</v>
      </c>
      <c r="J62" s="4" t="s">
        <v>18</v>
      </c>
      <c r="K62" s="6">
        <f>IF(J62="Paid", G62*H62*(1-I62/100), 0)</f>
        <v>34200</v>
      </c>
      <c r="L62" s="6">
        <f>IF(J62="Paid",G62*H62, 0)</f>
        <v>36000</v>
      </c>
      <c r="M62" s="6" t="str">
        <f t="shared" si="0"/>
        <v>April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3.2" x14ac:dyDescent="0.25">
      <c r="A63" s="4" t="s">
        <v>147</v>
      </c>
      <c r="B63" s="17">
        <v>45762</v>
      </c>
      <c r="C63" s="4" t="s">
        <v>148</v>
      </c>
      <c r="D63" s="4" t="s">
        <v>31</v>
      </c>
      <c r="E63" s="4" t="s">
        <v>42</v>
      </c>
      <c r="F63" s="5" t="s">
        <v>35</v>
      </c>
      <c r="G63" s="6">
        <v>1</v>
      </c>
      <c r="H63" s="20">
        <v>55000</v>
      </c>
      <c r="I63" s="13">
        <v>6</v>
      </c>
      <c r="J63" s="4" t="s">
        <v>18</v>
      </c>
      <c r="K63" s="6">
        <f>IF(J63="Paid", G63*H63*(1-I63/100), 0)</f>
        <v>51700</v>
      </c>
      <c r="L63" s="6">
        <f>IF(J63="Paid",G63*H63, 0)</f>
        <v>55000</v>
      </c>
      <c r="M63" s="6" t="str">
        <f t="shared" si="0"/>
        <v>April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3.2" x14ac:dyDescent="0.25">
      <c r="A64" s="4" t="s">
        <v>149</v>
      </c>
      <c r="B64" s="17">
        <v>45715</v>
      </c>
      <c r="C64" s="4" t="s">
        <v>150</v>
      </c>
      <c r="D64" s="4" t="s">
        <v>38</v>
      </c>
      <c r="E64" s="4" t="s">
        <v>16</v>
      </c>
      <c r="F64" s="5" t="s">
        <v>27</v>
      </c>
      <c r="G64" s="6">
        <v>2</v>
      </c>
      <c r="H64" s="20">
        <v>18000</v>
      </c>
      <c r="I64" s="13">
        <v>4</v>
      </c>
      <c r="J64" s="4" t="s">
        <v>18</v>
      </c>
      <c r="K64" s="6">
        <f>IF(J64="Paid", G64*H64*(1-I64/100), 0)</f>
        <v>34560</v>
      </c>
      <c r="L64" s="6">
        <f>IF(J64="Paid",G64*H64, 0)</f>
        <v>36000</v>
      </c>
      <c r="M64" s="6" t="str">
        <f t="shared" si="0"/>
        <v>February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3.2" x14ac:dyDescent="0.25">
      <c r="A65" s="4" t="s">
        <v>151</v>
      </c>
      <c r="B65" s="17">
        <v>45726</v>
      </c>
      <c r="C65" s="4" t="s">
        <v>152</v>
      </c>
      <c r="D65" s="4" t="s">
        <v>15</v>
      </c>
      <c r="E65" s="4" t="s">
        <v>42</v>
      </c>
      <c r="F65" s="5" t="s">
        <v>22</v>
      </c>
      <c r="G65" s="6">
        <v>3</v>
      </c>
      <c r="H65" s="20">
        <v>7500</v>
      </c>
      <c r="I65" s="13">
        <v>5</v>
      </c>
      <c r="J65" s="4" t="s">
        <v>28</v>
      </c>
      <c r="K65" s="6">
        <f>IF(J65="Paid", G65*H65*(1-I65/100), 0)</f>
        <v>0</v>
      </c>
      <c r="L65" s="6">
        <f>IF(J65="Paid",G65*H65, 0)</f>
        <v>0</v>
      </c>
      <c r="M65" s="6" t="str">
        <f t="shared" si="0"/>
        <v>March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3.2" x14ac:dyDescent="0.25">
      <c r="A66" s="4" t="s">
        <v>153</v>
      </c>
      <c r="B66" s="17">
        <v>45765</v>
      </c>
      <c r="C66" s="4" t="s">
        <v>24</v>
      </c>
      <c r="D66" s="4" t="s">
        <v>25</v>
      </c>
      <c r="E66" s="4" t="s">
        <v>114</v>
      </c>
      <c r="F66" s="5" t="s">
        <v>17</v>
      </c>
      <c r="G66" s="6">
        <v>4</v>
      </c>
      <c r="H66" s="20">
        <v>12000</v>
      </c>
      <c r="I66" s="13">
        <v>7</v>
      </c>
      <c r="J66" s="4" t="s">
        <v>18</v>
      </c>
      <c r="K66" s="6">
        <f>IF(J66="Paid", G66*H66*(1-I66/100), 0)</f>
        <v>44640</v>
      </c>
      <c r="L66" s="6">
        <f>IF(J66="Paid",G66*H66, 0)</f>
        <v>48000</v>
      </c>
      <c r="M66" s="6" t="str">
        <f t="shared" si="0"/>
        <v>April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3.2" x14ac:dyDescent="0.25">
      <c r="A67" s="4" t="s">
        <v>154</v>
      </c>
      <c r="B67" s="17">
        <v>45751</v>
      </c>
      <c r="C67" s="4" t="s">
        <v>155</v>
      </c>
      <c r="D67" s="4" t="s">
        <v>31</v>
      </c>
      <c r="E67" s="4" t="s">
        <v>39</v>
      </c>
      <c r="F67" s="5" t="s">
        <v>27</v>
      </c>
      <c r="G67" s="6">
        <v>6</v>
      </c>
      <c r="H67" s="20">
        <v>18000</v>
      </c>
      <c r="I67" s="13">
        <v>8</v>
      </c>
      <c r="J67" s="4" t="s">
        <v>28</v>
      </c>
      <c r="K67" s="6">
        <f>IF(J67="Paid", G67*H67*(1-I67/100), 0)</f>
        <v>0</v>
      </c>
      <c r="L67" s="6">
        <f>IF(J67="Paid",G67*H67, 0)</f>
        <v>0</v>
      </c>
      <c r="M67" s="6" t="str">
        <f t="shared" ref="M67:M127" si="1">TEXT(B67, "mmmm")</f>
        <v>April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3.2" x14ac:dyDescent="0.25">
      <c r="A68" s="4" t="s">
        <v>156</v>
      </c>
      <c r="B68" s="17">
        <v>45710</v>
      </c>
      <c r="C68" s="4" t="s">
        <v>63</v>
      </c>
      <c r="D68" s="4" t="s">
        <v>38</v>
      </c>
      <c r="E68" s="4" t="s">
        <v>21</v>
      </c>
      <c r="F68" s="5" t="s">
        <v>51</v>
      </c>
      <c r="G68" s="6">
        <v>2</v>
      </c>
      <c r="H68" s="20">
        <v>9500</v>
      </c>
      <c r="I68" s="13">
        <v>6</v>
      </c>
      <c r="J68" s="4" t="s">
        <v>18</v>
      </c>
      <c r="K68" s="6">
        <f>IF(J68="Paid", G68*H68*(1-I68/100), 0)</f>
        <v>17860</v>
      </c>
      <c r="L68" s="6">
        <f>IF(J68="Paid",G68*H68, 0)</f>
        <v>19000</v>
      </c>
      <c r="M68" s="6" t="str">
        <f t="shared" si="1"/>
        <v>February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3.2" x14ac:dyDescent="0.25">
      <c r="A69" s="4" t="s">
        <v>157</v>
      </c>
      <c r="B69" s="17">
        <v>45719</v>
      </c>
      <c r="C69" s="4" t="s">
        <v>37</v>
      </c>
      <c r="D69" s="4" t="s">
        <v>15</v>
      </c>
      <c r="E69" s="4" t="s">
        <v>42</v>
      </c>
      <c r="F69" s="5" t="s">
        <v>35</v>
      </c>
      <c r="G69" s="6">
        <v>1</v>
      </c>
      <c r="H69" s="20" t="s">
        <v>158</v>
      </c>
      <c r="I69" s="13">
        <v>6</v>
      </c>
      <c r="J69" s="4" t="s">
        <v>18</v>
      </c>
      <c r="K69" s="6">
        <f>IF(J69="Paid", G69*H69*(1-I69/100), 0)</f>
        <v>51700</v>
      </c>
      <c r="L69" s="6">
        <f>IF(J69="Paid",G69*H69, 0)</f>
        <v>55000</v>
      </c>
      <c r="M69" s="6" t="str">
        <f t="shared" si="1"/>
        <v>March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3.2" x14ac:dyDescent="0.25">
      <c r="A70" s="4" t="s">
        <v>159</v>
      </c>
      <c r="B70" s="17">
        <v>45754</v>
      </c>
      <c r="C70" s="4" t="s">
        <v>131</v>
      </c>
      <c r="D70" s="4" t="s">
        <v>31</v>
      </c>
      <c r="E70" s="4" t="s">
        <v>16</v>
      </c>
      <c r="F70" s="5" t="s">
        <v>17</v>
      </c>
      <c r="G70" s="6">
        <v>2</v>
      </c>
      <c r="H70" s="20">
        <v>12000</v>
      </c>
      <c r="I70" s="13">
        <v>3</v>
      </c>
      <c r="J70" s="4" t="s">
        <v>18</v>
      </c>
      <c r="K70" s="6">
        <f>IF(J70="Paid", G70*H70*(1-I70/100), 0)</f>
        <v>23280</v>
      </c>
      <c r="L70" s="6">
        <f>IF(J70="Paid",G70*H70, 0)</f>
        <v>24000</v>
      </c>
      <c r="M70" s="6" t="str">
        <f t="shared" si="1"/>
        <v>April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3.2" x14ac:dyDescent="0.25">
      <c r="A71" s="4" t="s">
        <v>160</v>
      </c>
      <c r="B71" s="17">
        <v>45704</v>
      </c>
      <c r="C71" s="4" t="s">
        <v>161</v>
      </c>
      <c r="D71" s="4" t="s">
        <v>15</v>
      </c>
      <c r="E71" s="4" t="s">
        <v>68</v>
      </c>
      <c r="F71" s="5" t="s">
        <v>27</v>
      </c>
      <c r="G71" s="6">
        <v>3</v>
      </c>
      <c r="H71" s="20">
        <v>18000</v>
      </c>
      <c r="I71" s="13">
        <v>5</v>
      </c>
      <c r="J71" s="4" t="s">
        <v>18</v>
      </c>
      <c r="K71" s="6">
        <f>IF(J71="Paid", G71*H71*(1-I71/100), 0)</f>
        <v>51300</v>
      </c>
      <c r="L71" s="6">
        <f>IF(J71="Paid",G71*H71, 0)</f>
        <v>54000</v>
      </c>
      <c r="M71" s="6" t="str">
        <f t="shared" si="1"/>
        <v>February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3.2" x14ac:dyDescent="0.25">
      <c r="A72" s="4" t="s">
        <v>162</v>
      </c>
      <c r="B72" s="17">
        <v>45746</v>
      </c>
      <c r="C72" s="4" t="s">
        <v>98</v>
      </c>
      <c r="D72" s="4" t="s">
        <v>25</v>
      </c>
      <c r="E72" s="4" t="s">
        <v>16</v>
      </c>
      <c r="F72" s="5" t="s">
        <v>51</v>
      </c>
      <c r="G72" s="6">
        <v>4</v>
      </c>
      <c r="H72" s="20">
        <v>9500</v>
      </c>
      <c r="I72" s="13">
        <v>7</v>
      </c>
      <c r="J72" s="4" t="s">
        <v>18</v>
      </c>
      <c r="K72" s="6">
        <f>IF(J72="Paid", G72*H72*(1-I72/100), 0)</f>
        <v>35340</v>
      </c>
      <c r="L72" s="6">
        <f>IF(J72="Paid",G72*H72, 0)</f>
        <v>38000</v>
      </c>
      <c r="M72" s="6" t="str">
        <f t="shared" si="1"/>
        <v>March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3.2" x14ac:dyDescent="0.25">
      <c r="A73" s="4" t="s">
        <v>163</v>
      </c>
      <c r="B73" s="17">
        <v>45758</v>
      </c>
      <c r="C73" s="4" t="s">
        <v>164</v>
      </c>
      <c r="D73" s="4" t="s">
        <v>38</v>
      </c>
      <c r="E73" s="4" t="s">
        <v>42</v>
      </c>
      <c r="F73" s="5" t="s">
        <v>27</v>
      </c>
      <c r="G73" s="6">
        <v>5</v>
      </c>
      <c r="H73" s="20">
        <v>18000</v>
      </c>
      <c r="I73" s="13">
        <v>6</v>
      </c>
      <c r="J73" s="4" t="s">
        <v>18</v>
      </c>
      <c r="K73" s="6">
        <f>IF(J73="Paid", G73*H73*(1-I73/100), 0)</f>
        <v>84600</v>
      </c>
      <c r="L73" s="6">
        <f>IF(J73="Paid",G73*H73, 0)</f>
        <v>90000</v>
      </c>
      <c r="M73" s="6" t="str">
        <f t="shared" si="1"/>
        <v>April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3.2" x14ac:dyDescent="0.25">
      <c r="A74" s="4" t="s">
        <v>165</v>
      </c>
      <c r="B74" s="17">
        <v>45721</v>
      </c>
      <c r="C74" s="4" t="s">
        <v>46</v>
      </c>
      <c r="D74" s="4" t="s">
        <v>31</v>
      </c>
      <c r="E74" s="4" t="s">
        <v>114</v>
      </c>
      <c r="F74" s="5" t="s">
        <v>35</v>
      </c>
      <c r="G74" s="6">
        <v>2</v>
      </c>
      <c r="H74" s="20">
        <v>55000</v>
      </c>
      <c r="I74" s="13">
        <v>5</v>
      </c>
      <c r="J74" s="4" t="s">
        <v>47</v>
      </c>
      <c r="K74" s="6">
        <f>IF(J74="Paid", G74*H74*(1-I74/100), 0)</f>
        <v>0</v>
      </c>
      <c r="L74" s="6">
        <f>IF(J74="Paid",G74*H74, 0)</f>
        <v>0</v>
      </c>
      <c r="M74" s="6" t="str">
        <f t="shared" si="1"/>
        <v>March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3.2" x14ac:dyDescent="0.25">
      <c r="A75" s="4" t="s">
        <v>166</v>
      </c>
      <c r="B75" s="17">
        <v>45714</v>
      </c>
      <c r="C75" s="4" t="s">
        <v>61</v>
      </c>
      <c r="D75" s="4" t="s">
        <v>15</v>
      </c>
      <c r="E75" s="4" t="s">
        <v>34</v>
      </c>
      <c r="F75" s="5" t="s">
        <v>22</v>
      </c>
      <c r="G75" s="6">
        <v>1</v>
      </c>
      <c r="H75" s="20">
        <v>7500</v>
      </c>
      <c r="I75" s="13">
        <v>3</v>
      </c>
      <c r="J75" s="4" t="s">
        <v>18</v>
      </c>
      <c r="K75" s="6">
        <f>IF(J75="Paid", G75*H75*(1-I75/100), 0)</f>
        <v>7275</v>
      </c>
      <c r="L75" s="6">
        <f>IF(J75="Paid",G75*H75, 0)</f>
        <v>7500</v>
      </c>
      <c r="M75" s="6" t="str">
        <f t="shared" si="1"/>
        <v>February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3.2" x14ac:dyDescent="0.25">
      <c r="A76" s="4" t="s">
        <v>167</v>
      </c>
      <c r="B76" s="17">
        <v>45755</v>
      </c>
      <c r="C76" s="4" t="s">
        <v>168</v>
      </c>
      <c r="D76" s="4" t="s">
        <v>25</v>
      </c>
      <c r="E76" s="4" t="s">
        <v>42</v>
      </c>
      <c r="F76" s="5" t="s">
        <v>17</v>
      </c>
      <c r="G76" s="6">
        <v>1</v>
      </c>
      <c r="H76" s="20">
        <v>12000</v>
      </c>
      <c r="I76" s="13">
        <v>4</v>
      </c>
      <c r="J76" s="4" t="s">
        <v>18</v>
      </c>
      <c r="K76" s="6">
        <f>IF(J76="Paid", G76*H76*(1-I76/100), 0)</f>
        <v>11520</v>
      </c>
      <c r="L76" s="6">
        <f>IF(J76="Paid",G76*H76, 0)</f>
        <v>12000</v>
      </c>
      <c r="M76" s="6" t="str">
        <f t="shared" si="1"/>
        <v>April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3.2" x14ac:dyDescent="0.25">
      <c r="A77" s="4" t="s">
        <v>169</v>
      </c>
      <c r="B77" s="17">
        <v>45730</v>
      </c>
      <c r="C77" s="4" t="s">
        <v>90</v>
      </c>
      <c r="D77" s="4" t="s">
        <v>38</v>
      </c>
      <c r="E77" s="4" t="s">
        <v>170</v>
      </c>
      <c r="F77" s="5" t="s">
        <v>27</v>
      </c>
      <c r="G77" s="6">
        <v>2</v>
      </c>
      <c r="H77" s="20">
        <v>18000</v>
      </c>
      <c r="I77" s="13">
        <v>6</v>
      </c>
      <c r="J77" s="4" t="s">
        <v>18</v>
      </c>
      <c r="K77" s="6">
        <f>IF(J77="Paid", G77*H77*(1-I77/100), 0)</f>
        <v>33840</v>
      </c>
      <c r="L77" s="6">
        <f>IF(J77="Paid",G77*H77, 0)</f>
        <v>36000</v>
      </c>
      <c r="M77" s="6" t="str">
        <f t="shared" si="1"/>
        <v>March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3.2" x14ac:dyDescent="0.25">
      <c r="A78" s="4" t="s">
        <v>171</v>
      </c>
      <c r="B78" s="17" t="s">
        <v>172</v>
      </c>
      <c r="C78" s="4" t="s">
        <v>173</v>
      </c>
      <c r="D78" s="4" t="s">
        <v>31</v>
      </c>
      <c r="E78" s="4" t="s">
        <v>39</v>
      </c>
      <c r="F78" s="5" t="s">
        <v>51</v>
      </c>
      <c r="G78" s="6">
        <v>3</v>
      </c>
      <c r="H78" s="20">
        <v>9500</v>
      </c>
      <c r="I78" s="13">
        <v>6</v>
      </c>
      <c r="J78" s="4" t="s">
        <v>18</v>
      </c>
      <c r="K78" s="6">
        <f>IF(J78="Paid", G78*H78*(1-I78/100), 0)</f>
        <v>26790</v>
      </c>
      <c r="L78" s="6">
        <f>IF(J78="Paid",G78*H78, 0)</f>
        <v>28500</v>
      </c>
      <c r="M78" s="6" t="str">
        <f t="shared" si="1"/>
        <v>February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3.2" x14ac:dyDescent="0.25">
      <c r="A79" s="4" t="s">
        <v>174</v>
      </c>
      <c r="B79" s="17">
        <v>45748</v>
      </c>
      <c r="C79" s="4" t="s">
        <v>24</v>
      </c>
      <c r="D79" s="4" t="s">
        <v>15</v>
      </c>
      <c r="E79" s="4" t="s">
        <v>42</v>
      </c>
      <c r="F79" s="5" t="s">
        <v>17</v>
      </c>
      <c r="G79" s="6">
        <v>4</v>
      </c>
      <c r="H79" s="20">
        <v>12000</v>
      </c>
      <c r="I79" s="13">
        <v>5</v>
      </c>
      <c r="J79" s="4" t="s">
        <v>18</v>
      </c>
      <c r="K79" s="6">
        <f>IF(J79="Paid", G79*H79*(1-I79/100), 0)</f>
        <v>45600</v>
      </c>
      <c r="L79" s="6">
        <f>IF(J79="Paid",G79*H79, 0)</f>
        <v>48000</v>
      </c>
      <c r="M79" s="6" t="str">
        <f t="shared" si="1"/>
        <v>April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3.2" x14ac:dyDescent="0.25">
      <c r="A80" s="4" t="s">
        <v>175</v>
      </c>
      <c r="B80" s="17">
        <v>45740</v>
      </c>
      <c r="C80" s="4" t="s">
        <v>176</v>
      </c>
      <c r="D80" s="4" t="s">
        <v>25</v>
      </c>
      <c r="E80" s="4" t="s">
        <v>16</v>
      </c>
      <c r="F80" s="5" t="s">
        <v>35</v>
      </c>
      <c r="G80" s="6">
        <v>1</v>
      </c>
      <c r="H80" s="20">
        <v>55000</v>
      </c>
      <c r="I80" s="13">
        <v>6</v>
      </c>
      <c r="J80" s="4" t="s">
        <v>18</v>
      </c>
      <c r="K80" s="6">
        <f>IF(J80="Paid", G80*H80*(1-I80/100), 0)</f>
        <v>51700</v>
      </c>
      <c r="L80" s="6">
        <f>IF(J80="Paid",G80*H80, 0)</f>
        <v>55000</v>
      </c>
      <c r="M80" s="6" t="str">
        <f t="shared" si="1"/>
        <v>March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3.2" x14ac:dyDescent="0.25">
      <c r="A81" s="4" t="s">
        <v>177</v>
      </c>
      <c r="B81" s="17">
        <v>45776</v>
      </c>
      <c r="C81" s="4" t="s">
        <v>178</v>
      </c>
      <c r="D81" s="4" t="s">
        <v>38</v>
      </c>
      <c r="E81" s="4" t="s">
        <v>21</v>
      </c>
      <c r="F81" s="5" t="s">
        <v>22</v>
      </c>
      <c r="G81" s="6">
        <v>2</v>
      </c>
      <c r="H81" s="20">
        <v>7500</v>
      </c>
      <c r="I81" s="13">
        <v>5</v>
      </c>
      <c r="J81" s="4" t="s">
        <v>18</v>
      </c>
      <c r="K81" s="6">
        <f>IF(J81="Paid", G81*H81*(1-I81/100), 0)</f>
        <v>14250</v>
      </c>
      <c r="L81" s="6">
        <f>IF(J81="Paid",G81*H81, 0)</f>
        <v>15000</v>
      </c>
      <c r="M81" s="6" t="str">
        <f t="shared" si="1"/>
        <v>April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3.2" x14ac:dyDescent="0.25">
      <c r="A82" s="4" t="s">
        <v>177</v>
      </c>
      <c r="B82" s="17">
        <v>45776</v>
      </c>
      <c r="C82" s="4" t="s">
        <v>178</v>
      </c>
      <c r="D82" s="4" t="s">
        <v>38</v>
      </c>
      <c r="E82" s="4" t="s">
        <v>21</v>
      </c>
      <c r="F82" s="5" t="s">
        <v>22</v>
      </c>
      <c r="G82" s="6">
        <v>2</v>
      </c>
      <c r="H82" s="20">
        <v>7500</v>
      </c>
      <c r="I82" s="13">
        <v>5</v>
      </c>
      <c r="J82" s="4" t="s">
        <v>18</v>
      </c>
      <c r="K82" s="6">
        <f>IF(J82="Paid", G82*H82*(1-I82/100), 0)</f>
        <v>14250</v>
      </c>
      <c r="L82" s="6">
        <f>IF(J82="Paid",G82*H82, 0)</f>
        <v>15000</v>
      </c>
      <c r="M82" s="6" t="str">
        <f t="shared" si="1"/>
        <v>April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3.2" x14ac:dyDescent="0.25">
      <c r="A83" s="4" t="s">
        <v>179</v>
      </c>
      <c r="B83" s="17">
        <v>45768</v>
      </c>
      <c r="C83" s="4" t="s">
        <v>37</v>
      </c>
      <c r="D83" s="4" t="s">
        <v>15</v>
      </c>
      <c r="E83" s="4" t="s">
        <v>114</v>
      </c>
      <c r="F83" s="5" t="s">
        <v>35</v>
      </c>
      <c r="G83" s="6">
        <v>2</v>
      </c>
      <c r="H83" s="20">
        <v>55000</v>
      </c>
      <c r="I83" s="13">
        <v>6</v>
      </c>
      <c r="J83" s="4" t="s">
        <v>18</v>
      </c>
      <c r="K83" s="6">
        <f>IF(J83="Paid", G83*H83*(1-I83/100), 0)</f>
        <v>103400</v>
      </c>
      <c r="L83" s="6">
        <f>IF(J83="Paid",G83*H83, 0)</f>
        <v>110000</v>
      </c>
      <c r="M83" s="6" t="str">
        <f t="shared" si="1"/>
        <v>April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3.2" x14ac:dyDescent="0.25">
      <c r="A84" s="4" t="s">
        <v>180</v>
      </c>
      <c r="B84" s="17">
        <v>45722</v>
      </c>
      <c r="C84" s="4" t="s">
        <v>181</v>
      </c>
      <c r="D84" s="4" t="s">
        <v>31</v>
      </c>
      <c r="E84" s="4" t="s">
        <v>42</v>
      </c>
      <c r="F84" s="5" t="s">
        <v>51</v>
      </c>
      <c r="G84" s="6">
        <v>1</v>
      </c>
      <c r="H84" s="20">
        <v>9500</v>
      </c>
      <c r="I84" s="13">
        <v>3</v>
      </c>
      <c r="J84" s="4" t="s">
        <v>18</v>
      </c>
      <c r="K84" s="6">
        <f>IF(J84="Paid", G84*H84*(1-I84/100), 0)</f>
        <v>9215</v>
      </c>
      <c r="L84" s="6">
        <f>IF(J84="Paid",G84*H84, 0)</f>
        <v>9500</v>
      </c>
      <c r="M84" s="6" t="str">
        <f t="shared" si="1"/>
        <v>March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3.2" x14ac:dyDescent="0.25">
      <c r="A85" s="4" t="s">
        <v>182</v>
      </c>
      <c r="B85" s="17">
        <v>45733</v>
      </c>
      <c r="C85" s="4" t="s">
        <v>183</v>
      </c>
      <c r="D85" s="4" t="s">
        <v>25</v>
      </c>
      <c r="E85" s="4" t="s">
        <v>16</v>
      </c>
      <c r="F85" s="5" t="s">
        <v>17</v>
      </c>
      <c r="G85" s="6">
        <v>2</v>
      </c>
      <c r="H85" s="20">
        <v>12000</v>
      </c>
      <c r="I85" s="13">
        <v>5</v>
      </c>
      <c r="J85" s="4" t="s">
        <v>18</v>
      </c>
      <c r="K85" s="6">
        <f>IF(J85="Paid", G85*H85*(1-I85/100), 0)</f>
        <v>22800</v>
      </c>
      <c r="L85" s="6">
        <f>IF(J85="Paid",G85*H85, 0)</f>
        <v>24000</v>
      </c>
      <c r="M85" s="6" t="str">
        <f t="shared" si="1"/>
        <v>March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3.2" x14ac:dyDescent="0.25">
      <c r="A86" s="4" t="s">
        <v>184</v>
      </c>
      <c r="B86" s="17">
        <v>45700</v>
      </c>
      <c r="C86" s="4" t="s">
        <v>185</v>
      </c>
      <c r="D86" s="4" t="s">
        <v>38</v>
      </c>
      <c r="E86" s="4" t="s">
        <v>42</v>
      </c>
      <c r="F86" s="5" t="s">
        <v>27</v>
      </c>
      <c r="G86" s="6">
        <v>3</v>
      </c>
      <c r="H86" s="20">
        <v>18000</v>
      </c>
      <c r="I86" s="13">
        <v>4</v>
      </c>
      <c r="J86" s="4" t="s">
        <v>18</v>
      </c>
      <c r="K86" s="6">
        <f>IF(J86="Paid", G86*H86*(1-I86/100), 0)</f>
        <v>51840</v>
      </c>
      <c r="L86" s="6">
        <f>IF(J86="Paid",G86*H86, 0)</f>
        <v>54000</v>
      </c>
      <c r="M86" s="6" t="str">
        <f t="shared" si="1"/>
        <v>February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3.2" x14ac:dyDescent="0.25">
      <c r="A87" s="4" t="s">
        <v>186</v>
      </c>
      <c r="B87" s="17">
        <v>45716</v>
      </c>
      <c r="C87" s="4" t="s">
        <v>92</v>
      </c>
      <c r="D87" s="4" t="s">
        <v>15</v>
      </c>
      <c r="E87" s="4" t="s">
        <v>39</v>
      </c>
      <c r="F87" s="5" t="s">
        <v>22</v>
      </c>
      <c r="G87" s="6">
        <v>2</v>
      </c>
      <c r="H87" s="20">
        <v>7500</v>
      </c>
      <c r="I87" s="13">
        <v>4</v>
      </c>
      <c r="J87" s="4" t="s">
        <v>18</v>
      </c>
      <c r="K87" s="6">
        <f>IF(J87="Paid", G87*H87*(1-I87/100), 0)</f>
        <v>14400</v>
      </c>
      <c r="L87" s="6">
        <f>IF(J87="Paid",G87*H87, 0)</f>
        <v>15000</v>
      </c>
      <c r="M87" s="6" t="str">
        <f t="shared" si="1"/>
        <v>February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3.2" x14ac:dyDescent="0.25">
      <c r="A88" s="4" t="s">
        <v>187</v>
      </c>
      <c r="B88" s="17">
        <v>45751</v>
      </c>
      <c r="C88" s="4" t="s">
        <v>188</v>
      </c>
      <c r="D88" s="4" t="s">
        <v>31</v>
      </c>
      <c r="E88" s="4" t="s">
        <v>114</v>
      </c>
      <c r="F88" s="5" t="s">
        <v>35</v>
      </c>
      <c r="G88" s="6">
        <v>3</v>
      </c>
      <c r="H88" s="20">
        <v>55000</v>
      </c>
      <c r="I88" s="13">
        <v>5</v>
      </c>
      <c r="J88" s="4" t="s">
        <v>18</v>
      </c>
      <c r="K88" s="6">
        <f>IF(J88="Paid", G88*H88*(1-I88/100), 0)</f>
        <v>156750</v>
      </c>
      <c r="L88" s="6">
        <f>IF(J88="Paid",G88*H88, 0)</f>
        <v>165000</v>
      </c>
      <c r="M88" s="6" t="str">
        <f t="shared" si="1"/>
        <v>April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3.2" x14ac:dyDescent="0.25">
      <c r="A89" s="4" t="s">
        <v>189</v>
      </c>
      <c r="B89" s="17">
        <v>45725</v>
      </c>
      <c r="C89" s="4" t="s">
        <v>190</v>
      </c>
      <c r="D89" s="4" t="s">
        <v>38</v>
      </c>
      <c r="E89" s="4" t="s">
        <v>42</v>
      </c>
      <c r="F89" s="5" t="s">
        <v>17</v>
      </c>
      <c r="G89" s="6">
        <v>2</v>
      </c>
      <c r="H89" s="20">
        <v>12000</v>
      </c>
      <c r="I89" s="13">
        <v>6</v>
      </c>
      <c r="J89" s="4" t="s">
        <v>18</v>
      </c>
      <c r="K89" s="6">
        <f>IF(J89="Paid", G89*H89*(1-I89/100), 0)</f>
        <v>22560</v>
      </c>
      <c r="L89" s="6">
        <f>IF(J89="Paid",G89*H89, 0)</f>
        <v>24000</v>
      </c>
      <c r="M89" s="6" t="str">
        <f t="shared" si="1"/>
        <v>March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3.2" x14ac:dyDescent="0.25">
      <c r="A90" s="4" t="s">
        <v>191</v>
      </c>
      <c r="B90" s="17">
        <v>45747</v>
      </c>
      <c r="C90" s="4" t="s">
        <v>131</v>
      </c>
      <c r="D90" s="4" t="s">
        <v>25</v>
      </c>
      <c r="E90" s="4" t="s">
        <v>68</v>
      </c>
      <c r="F90" s="5" t="s">
        <v>27</v>
      </c>
      <c r="G90" s="6">
        <v>4</v>
      </c>
      <c r="H90" s="20">
        <v>18000</v>
      </c>
      <c r="I90" s="13">
        <v>8</v>
      </c>
      <c r="J90" s="4" t="s">
        <v>18</v>
      </c>
      <c r="K90" s="6">
        <f>IF(J90="Paid", G90*H90*(1-I90/100), 0)</f>
        <v>66240</v>
      </c>
      <c r="L90" s="6">
        <f>IF(J90="Paid",G90*H90, 0)</f>
        <v>72000</v>
      </c>
      <c r="M90" s="6" t="str">
        <f t="shared" si="1"/>
        <v>March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3.2" x14ac:dyDescent="0.25">
      <c r="A91" s="4" t="s">
        <v>192</v>
      </c>
      <c r="B91" s="17">
        <v>45711</v>
      </c>
      <c r="C91" s="4" t="s">
        <v>193</v>
      </c>
      <c r="D91" s="4" t="s">
        <v>15</v>
      </c>
      <c r="E91" s="4" t="s">
        <v>16</v>
      </c>
      <c r="F91" s="5" t="s">
        <v>51</v>
      </c>
      <c r="G91" s="6">
        <v>2</v>
      </c>
      <c r="H91" s="20">
        <v>9500</v>
      </c>
      <c r="I91" s="13">
        <v>5</v>
      </c>
      <c r="J91" s="4" t="s">
        <v>18</v>
      </c>
      <c r="K91" s="6">
        <f>IF(J91="Paid", G91*H91*(1-I91/100), 0)</f>
        <v>18050</v>
      </c>
      <c r="L91" s="6">
        <f>IF(J91="Paid",G91*H91, 0)</f>
        <v>19000</v>
      </c>
      <c r="M91" s="6" t="str">
        <f t="shared" si="1"/>
        <v>February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3.2" x14ac:dyDescent="0.25">
      <c r="A92" s="4" t="s">
        <v>194</v>
      </c>
      <c r="B92" s="17">
        <v>45749</v>
      </c>
      <c r="C92" s="4" t="s">
        <v>120</v>
      </c>
      <c r="D92" s="4" t="s">
        <v>31</v>
      </c>
      <c r="E92" s="4" t="s">
        <v>42</v>
      </c>
      <c r="F92" s="5" t="s">
        <v>17</v>
      </c>
      <c r="G92" s="6">
        <v>3</v>
      </c>
      <c r="H92" s="20">
        <v>12000</v>
      </c>
      <c r="I92" s="13">
        <v>5</v>
      </c>
      <c r="J92" s="4" t="s">
        <v>18</v>
      </c>
      <c r="K92" s="6">
        <f>IF(J92="Paid", G92*H92*(1-I92/100), 0)</f>
        <v>34200</v>
      </c>
      <c r="L92" s="6">
        <f>IF(J92="Paid",G92*H92, 0)</f>
        <v>36000</v>
      </c>
      <c r="M92" s="6" t="str">
        <f t="shared" si="1"/>
        <v>April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3.2" x14ac:dyDescent="0.25">
      <c r="A93" s="4" t="s">
        <v>196</v>
      </c>
      <c r="B93" s="17">
        <v>45727</v>
      </c>
      <c r="C93" s="4" t="s">
        <v>197</v>
      </c>
      <c r="D93" s="4" t="s">
        <v>38</v>
      </c>
      <c r="E93" s="4" t="s">
        <v>114</v>
      </c>
      <c r="F93" s="5" t="s">
        <v>27</v>
      </c>
      <c r="G93" s="6">
        <v>2</v>
      </c>
      <c r="H93" s="20">
        <v>18000</v>
      </c>
      <c r="I93" s="13">
        <v>3</v>
      </c>
      <c r="J93" s="4" t="s">
        <v>18</v>
      </c>
      <c r="K93" s="6">
        <f>IF(J93="Paid", G93*H93*(1-I93/100), 0)</f>
        <v>34920</v>
      </c>
      <c r="L93" s="6">
        <f>IF(J93="Paid",G93*H93, 0)</f>
        <v>36000</v>
      </c>
      <c r="M93" s="6" t="str">
        <f t="shared" si="1"/>
        <v>March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3.2" x14ac:dyDescent="0.25">
      <c r="A94" s="4" t="s">
        <v>198</v>
      </c>
      <c r="B94" s="17">
        <v>45695</v>
      </c>
      <c r="C94" s="4" t="s">
        <v>24</v>
      </c>
      <c r="D94" s="4" t="s">
        <v>25</v>
      </c>
      <c r="E94" s="4" t="s">
        <v>42</v>
      </c>
      <c r="F94" s="5" t="s">
        <v>35</v>
      </c>
      <c r="G94" s="6">
        <v>4</v>
      </c>
      <c r="H94" s="20">
        <v>55000</v>
      </c>
      <c r="I94" s="13">
        <v>7</v>
      </c>
      <c r="J94" s="4" t="s">
        <v>18</v>
      </c>
      <c r="K94" s="6">
        <f>IF(J94="Paid", G94*H94*(1-I94/100), 0)</f>
        <v>204600</v>
      </c>
      <c r="L94" s="6">
        <f>IF(J94="Paid",G94*H94, 0)</f>
        <v>220000</v>
      </c>
      <c r="M94" s="6" t="str">
        <f t="shared" si="1"/>
        <v>February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3.2" x14ac:dyDescent="0.25">
      <c r="A95" s="4" t="s">
        <v>199</v>
      </c>
      <c r="B95" s="17">
        <v>45767</v>
      </c>
      <c r="C95" s="4" t="s">
        <v>127</v>
      </c>
      <c r="D95" s="4" t="s">
        <v>31</v>
      </c>
      <c r="E95" s="4" t="s">
        <v>16</v>
      </c>
      <c r="F95" s="5" t="s">
        <v>22</v>
      </c>
      <c r="G95" s="6">
        <v>3</v>
      </c>
      <c r="H95" s="20">
        <v>7500</v>
      </c>
      <c r="I95" s="13">
        <v>6</v>
      </c>
      <c r="J95" s="4" t="s">
        <v>28</v>
      </c>
      <c r="K95" s="6">
        <f>IF(J95="Paid", G95*H95*(1-I95/100), 0)</f>
        <v>0</v>
      </c>
      <c r="L95" s="6">
        <f>IF(J95="Paid",G95*H95, 0)</f>
        <v>0</v>
      </c>
      <c r="M95" s="6" t="str">
        <f t="shared" si="1"/>
        <v>April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3.2" x14ac:dyDescent="0.25">
      <c r="A96" s="4" t="s">
        <v>200</v>
      </c>
      <c r="B96" s="17">
        <v>45741</v>
      </c>
      <c r="C96" s="4" t="s">
        <v>201</v>
      </c>
      <c r="D96" s="4" t="s">
        <v>15</v>
      </c>
      <c r="E96" s="4" t="s">
        <v>68</v>
      </c>
      <c r="F96" s="5" t="s">
        <v>17</v>
      </c>
      <c r="G96" s="6">
        <v>2</v>
      </c>
      <c r="H96" s="20">
        <v>12000</v>
      </c>
      <c r="I96" s="13">
        <v>5</v>
      </c>
      <c r="J96" s="4" t="s">
        <v>18</v>
      </c>
      <c r="K96" s="6">
        <f>IF(J96="Paid", G96*H96*(1-I96/100), 0)</f>
        <v>22800</v>
      </c>
      <c r="L96" s="6">
        <f>IF(J96="Paid",G96*H96, 0)</f>
        <v>24000</v>
      </c>
      <c r="M96" s="6" t="str">
        <f t="shared" si="1"/>
        <v>March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3.2" x14ac:dyDescent="0.25">
      <c r="A97" s="4" t="s">
        <v>202</v>
      </c>
      <c r="B97" s="17">
        <v>45763</v>
      </c>
      <c r="C97" s="4" t="s">
        <v>65</v>
      </c>
      <c r="D97" s="4" t="s">
        <v>31</v>
      </c>
      <c r="E97" s="4" t="s">
        <v>16</v>
      </c>
      <c r="F97" s="5" t="s">
        <v>35</v>
      </c>
      <c r="G97" s="6">
        <v>7</v>
      </c>
      <c r="H97" s="20">
        <v>55000</v>
      </c>
      <c r="I97" s="13">
        <v>1</v>
      </c>
      <c r="J97" s="4" t="s">
        <v>18</v>
      </c>
      <c r="K97" s="6">
        <f>IF(J97="Paid", G97*H97*(1-I97/100), 0)</f>
        <v>381150</v>
      </c>
      <c r="L97" s="6">
        <f>IF(J97="Paid",G97*H97, 0)</f>
        <v>385000</v>
      </c>
      <c r="M97" s="6" t="str">
        <f t="shared" si="1"/>
        <v>April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3.2" x14ac:dyDescent="0.25">
      <c r="A98" s="4" t="s">
        <v>203</v>
      </c>
      <c r="B98" s="17">
        <v>45693</v>
      </c>
      <c r="C98" s="4" t="s">
        <v>204</v>
      </c>
      <c r="D98" s="4" t="s">
        <v>38</v>
      </c>
      <c r="E98" s="4" t="s">
        <v>42</v>
      </c>
      <c r="F98" s="5" t="s">
        <v>27</v>
      </c>
      <c r="G98" s="6">
        <v>2</v>
      </c>
      <c r="H98" s="20">
        <v>18000</v>
      </c>
      <c r="I98" s="13">
        <v>5</v>
      </c>
      <c r="J98" s="4" t="s">
        <v>18</v>
      </c>
      <c r="K98" s="6">
        <f>IF(J98="Paid", G98*H98*(1-I98/100), 0)</f>
        <v>34200</v>
      </c>
      <c r="L98" s="6">
        <f>IF(J98="Paid",G98*H98, 0)</f>
        <v>36000</v>
      </c>
      <c r="M98" s="6" t="str">
        <f t="shared" si="1"/>
        <v>February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3.2" x14ac:dyDescent="0.25">
      <c r="A99" s="4" t="s">
        <v>205</v>
      </c>
      <c r="B99" s="17">
        <v>45731</v>
      </c>
      <c r="C99" s="4" t="s">
        <v>206</v>
      </c>
      <c r="D99" s="4" t="s">
        <v>15</v>
      </c>
      <c r="E99" s="4" t="s">
        <v>16</v>
      </c>
      <c r="F99" s="5" t="s">
        <v>51</v>
      </c>
      <c r="G99" s="6">
        <v>1</v>
      </c>
      <c r="H99" s="20">
        <v>9500</v>
      </c>
      <c r="I99" s="13">
        <v>3</v>
      </c>
      <c r="J99" s="4" t="s">
        <v>18</v>
      </c>
      <c r="K99" s="6">
        <f>IF(J99="Paid", G99*H99*(1-I99/100), 0)</f>
        <v>9215</v>
      </c>
      <c r="L99" s="6">
        <f>IF(J99="Paid",G99*H99, 0)</f>
        <v>9500</v>
      </c>
      <c r="M99" s="6" t="str">
        <f t="shared" si="1"/>
        <v>March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3.2" x14ac:dyDescent="0.25">
      <c r="A100" s="4" t="s">
        <v>207</v>
      </c>
      <c r="B100" s="17">
        <v>45765</v>
      </c>
      <c r="C100" s="4" t="s">
        <v>208</v>
      </c>
      <c r="D100" s="4" t="s">
        <v>25</v>
      </c>
      <c r="E100" s="4" t="s">
        <v>39</v>
      </c>
      <c r="F100" s="5" t="s">
        <v>22</v>
      </c>
      <c r="G100" s="6">
        <v>4</v>
      </c>
      <c r="H100" s="20">
        <v>7500</v>
      </c>
      <c r="I100" s="13">
        <v>4</v>
      </c>
      <c r="J100" s="4" t="s">
        <v>18</v>
      </c>
      <c r="K100" s="6">
        <f>IF(J100="Paid", G100*H100*(1-I100/100), 0)</f>
        <v>28800</v>
      </c>
      <c r="L100" s="6">
        <f>IF(J100="Paid",G100*H100, 0)</f>
        <v>30000</v>
      </c>
      <c r="M100" s="6" t="str">
        <f t="shared" si="1"/>
        <v>April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3.2" x14ac:dyDescent="0.25">
      <c r="A101" s="4" t="s">
        <v>121</v>
      </c>
      <c r="B101" s="17">
        <v>45715</v>
      </c>
      <c r="C101" s="4" t="s">
        <v>122</v>
      </c>
      <c r="D101" s="4" t="s">
        <v>31</v>
      </c>
      <c r="E101" s="4" t="s">
        <v>42</v>
      </c>
      <c r="F101" s="5" t="s">
        <v>17</v>
      </c>
      <c r="G101" s="6">
        <v>2</v>
      </c>
      <c r="H101" s="20">
        <v>12000</v>
      </c>
      <c r="I101" s="13">
        <v>6</v>
      </c>
      <c r="J101" s="4" t="s">
        <v>18</v>
      </c>
      <c r="K101" s="6">
        <f>IF(J101="Paid", G101*H101*(1-I101/100), 0)</f>
        <v>22560</v>
      </c>
      <c r="L101" s="6">
        <f>IF(J101="Paid",G101*H101, 0)</f>
        <v>24000</v>
      </c>
      <c r="M101" s="6" t="str">
        <f t="shared" si="1"/>
        <v>February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3.2" x14ac:dyDescent="0.25">
      <c r="A102" s="4" t="s">
        <v>121</v>
      </c>
      <c r="B102" s="17">
        <v>45715</v>
      </c>
      <c r="C102" s="4" t="s">
        <v>122</v>
      </c>
      <c r="D102" s="4" t="s">
        <v>31</v>
      </c>
      <c r="E102" s="4" t="s">
        <v>42</v>
      </c>
      <c r="F102" s="5" t="s">
        <v>17</v>
      </c>
      <c r="G102" s="6">
        <v>2</v>
      </c>
      <c r="H102" s="20">
        <v>12000</v>
      </c>
      <c r="I102" s="13">
        <v>6</v>
      </c>
      <c r="J102" s="4" t="s">
        <v>18</v>
      </c>
      <c r="K102" s="6">
        <f>IF(J102="Paid", G102*H102*(1-I102/100), 0)</f>
        <v>22560</v>
      </c>
      <c r="L102" s="6">
        <f>IF(J102="Paid",G102*H102, 0)</f>
        <v>24000</v>
      </c>
      <c r="M102" s="6" t="str">
        <f t="shared" si="1"/>
        <v>February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3.2" x14ac:dyDescent="0.25">
      <c r="A103" s="4" t="s">
        <v>209</v>
      </c>
      <c r="B103" s="17">
        <v>45755</v>
      </c>
      <c r="C103" s="4" t="s">
        <v>24</v>
      </c>
      <c r="D103" s="4" t="s">
        <v>15</v>
      </c>
      <c r="E103" s="4" t="s">
        <v>16</v>
      </c>
      <c r="F103" s="5" t="s">
        <v>27</v>
      </c>
      <c r="G103" s="6">
        <v>3</v>
      </c>
      <c r="H103" s="20">
        <v>18000</v>
      </c>
      <c r="I103" s="13">
        <v>5</v>
      </c>
      <c r="J103" s="4" t="s">
        <v>18</v>
      </c>
      <c r="K103" s="6">
        <f>IF(J103="Paid", G103*H103*(1-I103/100), 0)</f>
        <v>51300</v>
      </c>
      <c r="L103" s="6">
        <f>IF(J103="Paid",G103*H103, 0)</f>
        <v>54000</v>
      </c>
      <c r="M103" s="6" t="str">
        <f t="shared" si="1"/>
        <v>April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3.2" x14ac:dyDescent="0.25">
      <c r="A104" s="4" t="s">
        <v>210</v>
      </c>
      <c r="B104" s="17">
        <v>45710</v>
      </c>
      <c r="C104" s="4" t="s">
        <v>86</v>
      </c>
      <c r="D104" s="4" t="s">
        <v>38</v>
      </c>
      <c r="E104" s="4" t="s">
        <v>68</v>
      </c>
      <c r="F104" s="5" t="s">
        <v>51</v>
      </c>
      <c r="G104" s="6">
        <v>4</v>
      </c>
      <c r="H104" s="20">
        <v>9500</v>
      </c>
      <c r="I104" s="13">
        <v>6</v>
      </c>
      <c r="J104" s="4" t="s">
        <v>18</v>
      </c>
      <c r="K104" s="6">
        <f>IF(J104="Paid", G104*H104*(1-I104/100), 0)</f>
        <v>35720</v>
      </c>
      <c r="L104" s="6">
        <f>IF(J104="Paid",G104*H104, 0)</f>
        <v>38000</v>
      </c>
      <c r="M104" s="6" t="str">
        <f t="shared" si="1"/>
        <v>February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3.2" x14ac:dyDescent="0.25">
      <c r="A105" s="4" t="s">
        <v>212</v>
      </c>
      <c r="B105" s="17">
        <v>45717</v>
      </c>
      <c r="C105" s="4" t="s">
        <v>44</v>
      </c>
      <c r="D105" s="4" t="s">
        <v>31</v>
      </c>
      <c r="E105" s="4" t="s">
        <v>68</v>
      </c>
      <c r="F105" s="5" t="s">
        <v>27</v>
      </c>
      <c r="G105" s="6">
        <v>6</v>
      </c>
      <c r="H105" s="20">
        <v>18000</v>
      </c>
      <c r="I105" s="13">
        <v>8</v>
      </c>
      <c r="J105" s="4" t="s">
        <v>18</v>
      </c>
      <c r="K105" s="6">
        <f>IF(J105="Paid", G105*H105*(1-I105/100), 0)</f>
        <v>99360</v>
      </c>
      <c r="L105" s="6">
        <f>IF(J105="Paid",G105*H105, 0)</f>
        <v>108000</v>
      </c>
      <c r="M105" s="6" t="str">
        <f t="shared" si="1"/>
        <v>March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3.2" x14ac:dyDescent="0.25">
      <c r="A106" s="4" t="s">
        <v>213</v>
      </c>
      <c r="B106" s="17">
        <v>45720</v>
      </c>
      <c r="C106" s="4" t="s">
        <v>14</v>
      </c>
      <c r="D106" s="4" t="s">
        <v>25</v>
      </c>
      <c r="E106" s="4" t="s">
        <v>42</v>
      </c>
      <c r="F106" s="5" t="s">
        <v>17</v>
      </c>
      <c r="G106" s="6">
        <v>2</v>
      </c>
      <c r="H106" s="20">
        <v>12000</v>
      </c>
      <c r="I106" s="13">
        <v>5</v>
      </c>
      <c r="J106" s="4" t="s">
        <v>18</v>
      </c>
      <c r="K106" s="6">
        <f>IF(J106="Paid", G106*H106*(1-I106/100), 0)</f>
        <v>22800</v>
      </c>
      <c r="L106" s="6">
        <f>IF(J106="Paid",G106*H106, 0)</f>
        <v>24000</v>
      </c>
      <c r="M106" s="6" t="str">
        <f t="shared" si="1"/>
        <v>March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3.2" x14ac:dyDescent="0.25">
      <c r="A107" s="4" t="s">
        <v>214</v>
      </c>
      <c r="B107" s="17">
        <v>45726</v>
      </c>
      <c r="C107" s="4" t="s">
        <v>20</v>
      </c>
      <c r="D107" s="4" t="s">
        <v>15</v>
      </c>
      <c r="E107" s="4" t="s">
        <v>114</v>
      </c>
      <c r="F107" s="5" t="s">
        <v>22</v>
      </c>
      <c r="G107" s="6">
        <v>2</v>
      </c>
      <c r="H107" s="20">
        <v>7500</v>
      </c>
      <c r="I107" s="13">
        <v>4</v>
      </c>
      <c r="J107" s="4" t="s">
        <v>18</v>
      </c>
      <c r="K107" s="6">
        <f>IF(J107="Paid", G107*H107*(1-I107/100), 0)</f>
        <v>14400</v>
      </c>
      <c r="L107" s="6">
        <f>IF(J107="Paid",G107*H107, 0)</f>
        <v>15000</v>
      </c>
      <c r="M107" s="6" t="str">
        <f t="shared" si="1"/>
        <v>March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3.2" x14ac:dyDescent="0.25">
      <c r="A108" s="4" t="s">
        <v>215</v>
      </c>
      <c r="B108" s="17">
        <v>45702</v>
      </c>
      <c r="C108" s="4" t="s">
        <v>24</v>
      </c>
      <c r="D108" s="4" t="s">
        <v>31</v>
      </c>
      <c r="E108" s="4" t="s">
        <v>42</v>
      </c>
      <c r="F108" s="5" t="s">
        <v>35</v>
      </c>
      <c r="G108" s="6">
        <v>5</v>
      </c>
      <c r="H108" s="20">
        <v>55000</v>
      </c>
      <c r="I108" s="13">
        <v>7</v>
      </c>
      <c r="J108" s="4" t="s">
        <v>18</v>
      </c>
      <c r="K108" s="6">
        <f>IF(J108="Paid", G108*H108*(1-I108/100), 0)</f>
        <v>255749.99999999997</v>
      </c>
      <c r="L108" s="6">
        <f>IF(J108="Paid",G108*H108, 0)</f>
        <v>275000</v>
      </c>
      <c r="M108" s="6" t="str">
        <f t="shared" si="1"/>
        <v>February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3.2" x14ac:dyDescent="0.25">
      <c r="A109" s="4" t="s">
        <v>216</v>
      </c>
      <c r="B109" s="17">
        <v>45746</v>
      </c>
      <c r="C109" s="4" t="s">
        <v>137</v>
      </c>
      <c r="D109" s="4" t="s">
        <v>38</v>
      </c>
      <c r="E109" s="4" t="s">
        <v>114</v>
      </c>
      <c r="F109" s="5" t="s">
        <v>27</v>
      </c>
      <c r="G109" s="6">
        <v>3</v>
      </c>
      <c r="H109" s="20">
        <v>18000</v>
      </c>
      <c r="I109" s="13">
        <v>5</v>
      </c>
      <c r="J109" s="4" t="s">
        <v>18</v>
      </c>
      <c r="K109" s="6">
        <f>IF(J109="Paid", G109*H109*(1-I109/100), 0)</f>
        <v>51300</v>
      </c>
      <c r="L109" s="6">
        <f>IF(J109="Paid",G109*H109, 0)</f>
        <v>54000</v>
      </c>
      <c r="M109" s="6" t="str">
        <f t="shared" si="1"/>
        <v>March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3.2" x14ac:dyDescent="0.25">
      <c r="A110" s="4" t="s">
        <v>217</v>
      </c>
      <c r="B110" s="17">
        <v>45714</v>
      </c>
      <c r="C110" s="4" t="s">
        <v>33</v>
      </c>
      <c r="D110" s="4" t="s">
        <v>25</v>
      </c>
      <c r="E110" s="4" t="s">
        <v>34</v>
      </c>
      <c r="F110" s="5" t="s">
        <v>35</v>
      </c>
      <c r="G110" s="6">
        <v>1</v>
      </c>
      <c r="H110" s="20">
        <v>55000</v>
      </c>
      <c r="I110" s="13">
        <v>0.08</v>
      </c>
      <c r="J110" s="4" t="s">
        <v>28</v>
      </c>
      <c r="K110" s="6">
        <f>IF(J110="Paid", G110*H110*(1-I110/100), 0)</f>
        <v>0</v>
      </c>
      <c r="L110" s="6">
        <f>IF(J110="Paid",G110*H110, 0)</f>
        <v>0</v>
      </c>
      <c r="M110" s="6" t="str">
        <f t="shared" si="1"/>
        <v>February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3.2" x14ac:dyDescent="0.25">
      <c r="A111" s="4" t="s">
        <v>218</v>
      </c>
      <c r="B111" s="17">
        <v>45756</v>
      </c>
      <c r="C111" s="4" t="s">
        <v>219</v>
      </c>
      <c r="D111" s="4" t="s">
        <v>15</v>
      </c>
      <c r="E111" s="4" t="s">
        <v>39</v>
      </c>
      <c r="F111" s="5" t="s">
        <v>17</v>
      </c>
      <c r="G111" s="6">
        <v>2</v>
      </c>
      <c r="H111" s="20">
        <v>12000</v>
      </c>
      <c r="I111" s="13">
        <v>5</v>
      </c>
      <c r="J111" s="4" t="s">
        <v>18</v>
      </c>
      <c r="K111" s="6">
        <f>IF(J111="Paid", G111*H111*(1-I111/100), 0)</f>
        <v>22800</v>
      </c>
      <c r="L111" s="6">
        <f>IF(J111="Paid",G111*H111, 0)</f>
        <v>24000</v>
      </c>
      <c r="M111" s="6" t="str">
        <f t="shared" si="1"/>
        <v>April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3.2" x14ac:dyDescent="0.25">
      <c r="A112" s="4" t="s">
        <v>220</v>
      </c>
      <c r="B112" s="17">
        <v>45691</v>
      </c>
      <c r="C112" s="4" t="s">
        <v>90</v>
      </c>
      <c r="D112" s="4" t="s">
        <v>31</v>
      </c>
      <c r="E112" s="4" t="s">
        <v>42</v>
      </c>
      <c r="F112" s="5" t="s">
        <v>51</v>
      </c>
      <c r="G112" s="6">
        <v>2</v>
      </c>
      <c r="H112" s="20">
        <v>9500</v>
      </c>
      <c r="I112" s="13">
        <v>4</v>
      </c>
      <c r="J112" s="4" t="s">
        <v>18</v>
      </c>
      <c r="K112" s="6">
        <f>IF(J112="Paid", G112*H112*(1-I112/100), 0)</f>
        <v>18240</v>
      </c>
      <c r="L112" s="6">
        <f>IF(J112="Paid",G112*H112, 0)</f>
        <v>19000</v>
      </c>
      <c r="M112" s="6" t="str">
        <f t="shared" si="1"/>
        <v>February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3.2" x14ac:dyDescent="0.25">
      <c r="A113" s="4" t="s">
        <v>221</v>
      </c>
      <c r="B113" s="17">
        <v>45735</v>
      </c>
      <c r="C113" s="4" t="s">
        <v>88</v>
      </c>
      <c r="D113" s="4" t="s">
        <v>38</v>
      </c>
      <c r="E113" s="4" t="s">
        <v>170</v>
      </c>
      <c r="F113" s="5" t="s">
        <v>27</v>
      </c>
      <c r="G113" s="6">
        <v>4</v>
      </c>
      <c r="H113" s="20">
        <v>18000</v>
      </c>
      <c r="I113" s="13">
        <v>6</v>
      </c>
      <c r="J113" s="4" t="s">
        <v>18</v>
      </c>
      <c r="K113" s="6">
        <f>IF(J113="Paid", G113*H113*(1-I113/100), 0)</f>
        <v>67680</v>
      </c>
      <c r="L113" s="6">
        <f>IF(J113="Paid",G113*H113, 0)</f>
        <v>72000</v>
      </c>
      <c r="M113" s="6" t="str">
        <f t="shared" si="1"/>
        <v>March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3.2" x14ac:dyDescent="0.25">
      <c r="A114" s="4" t="s">
        <v>211</v>
      </c>
      <c r="B114" s="17">
        <v>45661</v>
      </c>
      <c r="C114" s="4" t="s">
        <v>41</v>
      </c>
      <c r="D114" s="4" t="s">
        <v>31</v>
      </c>
      <c r="E114" s="4" t="s">
        <v>16</v>
      </c>
      <c r="F114" s="5" t="s">
        <v>17</v>
      </c>
      <c r="G114" s="6">
        <v>3</v>
      </c>
      <c r="H114" s="20">
        <v>12000</v>
      </c>
      <c r="I114" s="13">
        <v>5</v>
      </c>
      <c r="J114" s="4" t="s">
        <v>18</v>
      </c>
      <c r="K114" s="6">
        <f>IF(J114="Paid", G114*H114*(1-I114/100), 0)</f>
        <v>34200</v>
      </c>
      <c r="L114" s="6">
        <f>IF(J114="Paid",G114*H114, 0)</f>
        <v>36000</v>
      </c>
      <c r="M114" s="6" t="str">
        <f t="shared" si="1"/>
        <v>January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3.2" x14ac:dyDescent="0.25">
      <c r="A115" s="4" t="s">
        <v>222</v>
      </c>
      <c r="B115" s="17">
        <v>45700</v>
      </c>
      <c r="C115" s="4" t="s">
        <v>37</v>
      </c>
      <c r="D115" s="4" t="s">
        <v>15</v>
      </c>
      <c r="E115" s="4" t="s">
        <v>42</v>
      </c>
      <c r="F115" s="5" t="s">
        <v>51</v>
      </c>
      <c r="G115" s="6">
        <v>2</v>
      </c>
      <c r="H115" s="20">
        <v>9500</v>
      </c>
      <c r="I115" s="13">
        <v>6</v>
      </c>
      <c r="J115" s="4" t="s">
        <v>18</v>
      </c>
      <c r="K115" s="6">
        <f>IF(J115="Paid", G115*H115*(1-I115/100), 0)</f>
        <v>17860</v>
      </c>
      <c r="L115" s="6">
        <f>IF(J115="Paid",G115*H115, 0)</f>
        <v>19000</v>
      </c>
      <c r="M115" s="6" t="str">
        <f t="shared" si="1"/>
        <v>February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3.2" x14ac:dyDescent="0.25">
      <c r="A116" s="4" t="s">
        <v>223</v>
      </c>
      <c r="B116" s="17">
        <v>45740</v>
      </c>
      <c r="C116" s="4" t="s">
        <v>224</v>
      </c>
      <c r="D116" s="4" t="s">
        <v>25</v>
      </c>
      <c r="E116" s="4" t="s">
        <v>39</v>
      </c>
      <c r="F116" s="5" t="s">
        <v>35</v>
      </c>
      <c r="G116" s="6">
        <v>2</v>
      </c>
      <c r="H116" s="20">
        <v>55000</v>
      </c>
      <c r="I116" s="13">
        <v>5</v>
      </c>
      <c r="J116" s="4" t="s">
        <v>18</v>
      </c>
      <c r="K116" s="6">
        <f>IF(J116="Paid", G116*H116*(1-I116/100), 0)</f>
        <v>104500</v>
      </c>
      <c r="L116" s="6">
        <f>IF(J116="Paid",G116*H116, 0)</f>
        <v>110000</v>
      </c>
      <c r="M116" s="6" t="str">
        <f t="shared" si="1"/>
        <v>March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3.2" x14ac:dyDescent="0.25">
      <c r="A117" s="4" t="s">
        <v>195</v>
      </c>
      <c r="B117" s="17">
        <v>45752</v>
      </c>
      <c r="C117" s="4" t="s">
        <v>98</v>
      </c>
      <c r="D117" s="4" t="s">
        <v>38</v>
      </c>
      <c r="E117" s="4" t="s">
        <v>114</v>
      </c>
      <c r="F117" s="5" t="s">
        <v>27</v>
      </c>
      <c r="G117" s="6">
        <v>4</v>
      </c>
      <c r="H117" s="22">
        <v>18000</v>
      </c>
      <c r="I117" s="13">
        <v>6</v>
      </c>
      <c r="J117" s="4" t="s">
        <v>28</v>
      </c>
      <c r="K117" s="6">
        <f>IF(J117="Paid", G117*H117*(1-I117/100), 0)</f>
        <v>0</v>
      </c>
      <c r="L117" s="6">
        <f>IF(J117="Paid",G117*H117, 0)</f>
        <v>0</v>
      </c>
      <c r="M117" s="6" t="str">
        <f t="shared" si="1"/>
        <v>April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3.2" x14ac:dyDescent="0.25">
      <c r="A118" s="4" t="s">
        <v>225</v>
      </c>
      <c r="B118" s="17">
        <v>45703</v>
      </c>
      <c r="C118" s="4" t="s">
        <v>30</v>
      </c>
      <c r="D118" s="4" t="s">
        <v>15</v>
      </c>
      <c r="E118" s="4" t="s">
        <v>42</v>
      </c>
      <c r="F118" s="5" t="s">
        <v>17</v>
      </c>
      <c r="G118" s="6">
        <v>3</v>
      </c>
      <c r="H118" s="20">
        <v>12000</v>
      </c>
      <c r="I118" s="13">
        <v>4</v>
      </c>
      <c r="J118" s="4" t="s">
        <v>18</v>
      </c>
      <c r="K118" s="6">
        <f>IF(J118="Paid", G118*H118*(1-I118/100), 0)</f>
        <v>34560</v>
      </c>
      <c r="L118" s="6">
        <f>IF(J118="Paid",G118*H118, 0)</f>
        <v>36000</v>
      </c>
      <c r="M118" s="6" t="str">
        <f t="shared" si="1"/>
        <v>February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3.2" x14ac:dyDescent="0.25">
      <c r="A119" s="4" t="s">
        <v>226</v>
      </c>
      <c r="B119" s="17">
        <v>45768</v>
      </c>
      <c r="C119" s="4" t="s">
        <v>16</v>
      </c>
      <c r="D119" s="4" t="s">
        <v>31</v>
      </c>
      <c r="E119" s="4" t="s">
        <v>68</v>
      </c>
      <c r="F119" s="5" t="s">
        <v>51</v>
      </c>
      <c r="G119" s="6">
        <v>2</v>
      </c>
      <c r="H119" s="20">
        <v>9500</v>
      </c>
      <c r="I119" s="13">
        <v>5</v>
      </c>
      <c r="J119" s="4" t="s">
        <v>18</v>
      </c>
      <c r="K119" s="6">
        <f>IF(J119="Paid", G119*H119*(1-I119/100), 0)</f>
        <v>18050</v>
      </c>
      <c r="L119" s="6">
        <f>IF(J119="Paid",G119*H119, 0)</f>
        <v>19000</v>
      </c>
      <c r="M119" s="6" t="str">
        <f t="shared" si="1"/>
        <v>April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3.2" x14ac:dyDescent="0.25">
      <c r="A120" s="4" t="s">
        <v>227</v>
      </c>
      <c r="B120" s="17">
        <v>45718</v>
      </c>
      <c r="C120" s="4" t="s">
        <v>78</v>
      </c>
      <c r="D120" s="4" t="s">
        <v>25</v>
      </c>
      <c r="E120" s="4" t="s">
        <v>16</v>
      </c>
      <c r="F120" s="5" t="s">
        <v>22</v>
      </c>
      <c r="G120" s="6">
        <v>1</v>
      </c>
      <c r="H120" s="20">
        <v>7500</v>
      </c>
      <c r="I120" s="13">
        <v>6</v>
      </c>
      <c r="J120" s="4" t="s">
        <v>18</v>
      </c>
      <c r="K120" s="6">
        <f>IF(J120="Paid", G120*H120*(1-I120/100), 0)</f>
        <v>7050</v>
      </c>
      <c r="L120" s="6">
        <f>IF(J120="Paid",G120*H120, 0)</f>
        <v>7500</v>
      </c>
      <c r="M120" s="6" t="str">
        <f t="shared" si="1"/>
        <v>March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3.2" x14ac:dyDescent="0.25">
      <c r="A121" s="4" t="s">
        <v>228</v>
      </c>
      <c r="B121" s="17">
        <v>45754</v>
      </c>
      <c r="C121" s="4" t="s">
        <v>59</v>
      </c>
      <c r="D121" s="4" t="s">
        <v>38</v>
      </c>
      <c r="E121" s="4" t="s">
        <v>42</v>
      </c>
      <c r="F121" s="5" t="s">
        <v>27</v>
      </c>
      <c r="G121" s="6">
        <v>5</v>
      </c>
      <c r="H121" s="20">
        <v>18000</v>
      </c>
      <c r="I121" s="13">
        <v>7</v>
      </c>
      <c r="J121" s="4" t="s">
        <v>28</v>
      </c>
      <c r="K121" s="6">
        <f>IF(J121="Paid", G121*H121*(1-I121/100), 0)</f>
        <v>0</v>
      </c>
      <c r="L121" s="6">
        <f>IF(J121="Paid",G121*H121, 0)</f>
        <v>0</v>
      </c>
      <c r="M121" s="6" t="str">
        <f t="shared" si="1"/>
        <v>April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3.2" x14ac:dyDescent="0.25">
      <c r="A122" s="4" t="s">
        <v>229</v>
      </c>
      <c r="B122" s="17">
        <v>45704</v>
      </c>
      <c r="C122" s="4" t="s">
        <v>92</v>
      </c>
      <c r="D122" s="4" t="s">
        <v>15</v>
      </c>
      <c r="E122" s="4" t="s">
        <v>16</v>
      </c>
      <c r="F122" s="5" t="s">
        <v>17</v>
      </c>
      <c r="G122" s="6">
        <v>3</v>
      </c>
      <c r="H122" s="20">
        <v>12000</v>
      </c>
      <c r="I122" s="13">
        <v>6</v>
      </c>
      <c r="J122" s="4" t="s">
        <v>18</v>
      </c>
      <c r="K122" s="6">
        <f>IF(J122="Paid", G122*H122*(1-I122/100), 0)</f>
        <v>33840</v>
      </c>
      <c r="L122" s="6">
        <f>IF(J122="Paid",G122*H122, 0)</f>
        <v>36000</v>
      </c>
      <c r="M122" s="6" t="str">
        <f t="shared" si="1"/>
        <v>February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3.2" x14ac:dyDescent="0.25">
      <c r="A123" s="4" t="s">
        <v>230</v>
      </c>
      <c r="B123" s="17">
        <v>45727</v>
      </c>
      <c r="C123" s="4" t="s">
        <v>176</v>
      </c>
      <c r="D123" s="4" t="s">
        <v>31</v>
      </c>
      <c r="E123" s="4" t="s">
        <v>42</v>
      </c>
      <c r="F123" s="4" t="s">
        <v>35</v>
      </c>
      <c r="G123" s="6">
        <v>1</v>
      </c>
      <c r="H123" s="20">
        <v>55000</v>
      </c>
      <c r="I123" s="13">
        <v>5</v>
      </c>
      <c r="J123" s="4" t="s">
        <v>18</v>
      </c>
      <c r="K123" s="6">
        <f>IF(J123="Paid", G123*H123*(1-I123/100), 0)</f>
        <v>52250</v>
      </c>
      <c r="L123" s="6">
        <f>IF(J123="Paid",G123*H123, 0)</f>
        <v>55000</v>
      </c>
      <c r="M123" s="6" t="str">
        <f t="shared" si="1"/>
        <v>March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3.2" x14ac:dyDescent="0.25">
      <c r="A124" s="4" t="s">
        <v>231</v>
      </c>
      <c r="B124" s="17" t="s">
        <v>232</v>
      </c>
      <c r="C124" s="4" t="s">
        <v>233</v>
      </c>
      <c r="D124" s="4" t="s">
        <v>15</v>
      </c>
      <c r="E124" s="4" t="s">
        <v>16</v>
      </c>
      <c r="F124" s="4" t="s">
        <v>27</v>
      </c>
      <c r="G124" s="6">
        <v>2</v>
      </c>
      <c r="H124" s="20">
        <v>18000</v>
      </c>
      <c r="I124" s="13">
        <v>4</v>
      </c>
      <c r="J124" s="4" t="s">
        <v>18</v>
      </c>
      <c r="K124" s="6">
        <f>IF(J124="Paid", G124*H124*(1-I124/100), 0)</f>
        <v>34560</v>
      </c>
      <c r="L124" s="6">
        <f>IF(J124="Paid",G124*H124, 0)</f>
        <v>36000</v>
      </c>
      <c r="M124" s="6" t="str">
        <f t="shared" si="1"/>
        <v>February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3.2" x14ac:dyDescent="0.25">
      <c r="A125" s="4" t="s">
        <v>234</v>
      </c>
      <c r="B125" s="17">
        <v>45749</v>
      </c>
      <c r="C125" s="4" t="s">
        <v>188</v>
      </c>
      <c r="D125" s="4" t="s">
        <v>25</v>
      </c>
      <c r="E125" s="4" t="s">
        <v>39</v>
      </c>
      <c r="F125" s="4" t="s">
        <v>51</v>
      </c>
      <c r="G125" s="6">
        <v>3</v>
      </c>
      <c r="H125" s="20">
        <v>9500</v>
      </c>
      <c r="I125" s="13">
        <v>6</v>
      </c>
      <c r="J125" s="4" t="s">
        <v>18</v>
      </c>
      <c r="K125" s="6">
        <f>IF(J125="Paid", G125*H125*(1-I125/100), 0)</f>
        <v>26790</v>
      </c>
      <c r="L125" s="6">
        <f>IF(J125="Paid",G125*H125, 0)</f>
        <v>28500</v>
      </c>
      <c r="M125" s="6" t="str">
        <f t="shared" si="1"/>
        <v>April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3.2" x14ac:dyDescent="0.25">
      <c r="A126" s="4" t="s">
        <v>235</v>
      </c>
      <c r="B126" s="17">
        <v>45724</v>
      </c>
      <c r="C126" s="4" t="s">
        <v>70</v>
      </c>
      <c r="D126" s="4" t="s">
        <v>31</v>
      </c>
      <c r="E126" s="4" t="s">
        <v>42</v>
      </c>
      <c r="F126" s="4" t="s">
        <v>17</v>
      </c>
      <c r="G126" s="6">
        <v>2</v>
      </c>
      <c r="H126" s="20">
        <v>12000</v>
      </c>
      <c r="I126" s="13">
        <v>5</v>
      </c>
      <c r="J126" s="4" t="s">
        <v>18</v>
      </c>
      <c r="K126" s="6">
        <f>IF(J126="Paid", G126*H126*(1-I126/100), 0)</f>
        <v>22800</v>
      </c>
      <c r="L126" s="6">
        <f>IF(J126="Paid",G126*H126, 0)</f>
        <v>24000</v>
      </c>
      <c r="M126" s="6" t="str">
        <f t="shared" si="1"/>
        <v>March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3.2" x14ac:dyDescent="0.25">
      <c r="A127" s="4" t="s">
        <v>236</v>
      </c>
      <c r="B127" s="17">
        <v>45705</v>
      </c>
      <c r="C127" s="4" t="s">
        <v>24</v>
      </c>
      <c r="D127" s="4" t="s">
        <v>38</v>
      </c>
      <c r="E127" s="4" t="s">
        <v>16</v>
      </c>
      <c r="F127" s="4" t="s">
        <v>27</v>
      </c>
      <c r="G127" s="6">
        <v>6</v>
      </c>
      <c r="H127" s="20">
        <v>18000</v>
      </c>
      <c r="I127" s="13">
        <v>8</v>
      </c>
      <c r="J127" s="4" t="s">
        <v>18</v>
      </c>
      <c r="K127" s="6">
        <f>IF(J127="Paid", G127*H127*(1-I127/100), 0)</f>
        <v>99360</v>
      </c>
      <c r="L127" s="6">
        <f>IF(J127="Paid",G127*H127, 0)</f>
        <v>108000</v>
      </c>
      <c r="M127" s="6" t="str">
        <f t="shared" si="1"/>
        <v>February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 x14ac:dyDescent="0.25">
      <c r="J128" s="32">
        <f>COUNTIF(J2:J127,"Unpaid") + COUNTIF(J2:J127, "Pending") /COUNTA(J2:J127)</f>
        <v>5.1031746031746028</v>
      </c>
      <c r="L128" s="31">
        <f>SUM(L2:L127)</f>
        <v>5931000</v>
      </c>
    </row>
  </sheetData>
  <sortState xmlns:xlrd2="http://schemas.microsoft.com/office/spreadsheetml/2017/richdata2" ref="A2:M128">
    <sortCondition ref="A1:A12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9"/>
  <sheetViews>
    <sheetView workbookViewId="0">
      <pane ySplit="1" topLeftCell="A2" activePane="bottomLeft" state="frozen"/>
      <selection pane="bottomLeft" activeCell="B6" sqref="B6"/>
    </sheetView>
  </sheetViews>
  <sheetFormatPr defaultColWidth="12.6640625" defaultRowHeight="15.75" customHeight="1" x14ac:dyDescent="0.25"/>
  <cols>
    <col min="1" max="1" width="73.88671875" customWidth="1"/>
    <col min="2" max="2" width="92" customWidth="1"/>
  </cols>
  <sheetData>
    <row r="1" spans="1:25" ht="30.6" customHeight="1" x14ac:dyDescent="0.25">
      <c r="A1" s="7" t="s">
        <v>237</v>
      </c>
      <c r="B1" s="8" t="s">
        <v>238</v>
      </c>
      <c r="C1" s="9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35.4" customHeight="1" x14ac:dyDescent="0.25">
      <c r="A2" s="10" t="s">
        <v>239</v>
      </c>
      <c r="B2" s="23" t="s">
        <v>243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40.799999999999997" customHeight="1" x14ac:dyDescent="0.25">
      <c r="A3" s="23" t="s">
        <v>242</v>
      </c>
      <c r="B3" s="24" t="s">
        <v>244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39" customHeight="1" x14ac:dyDescent="0.25">
      <c r="A4" s="25" t="s">
        <v>245</v>
      </c>
      <c r="B4" s="24" t="s">
        <v>264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9.4" customHeight="1" x14ac:dyDescent="0.25">
      <c r="A5" s="30" t="s">
        <v>241</v>
      </c>
      <c r="B5" s="24" t="s">
        <v>250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31.8" customHeight="1" x14ac:dyDescent="0.25">
      <c r="A6" s="30" t="s">
        <v>251</v>
      </c>
      <c r="B6" s="38">
        <v>5.1032000000000002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49.8" customHeight="1" x14ac:dyDescent="0.25">
      <c r="A7" s="25" t="s">
        <v>252</v>
      </c>
      <c r="B7" s="24" t="s">
        <v>263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39" customHeight="1" x14ac:dyDescent="0.35">
      <c r="A8" s="23" t="s">
        <v>240</v>
      </c>
      <c r="B8" s="37" t="s">
        <v>262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2" x14ac:dyDescent="0.25">
      <c r="A16" s="1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3.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3.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3.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3.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3.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3.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3.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3.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3.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3.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3.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3.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3.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3.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3.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3.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3.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3.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3.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3.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3.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3.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3.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3.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3.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3.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3.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3.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3.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3.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3.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3.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3.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3.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3.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3.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3.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3.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3.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3.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3.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3.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3.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3.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3.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3.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3.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3.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3.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3.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3.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3.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3.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3.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3.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3.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3.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3.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3.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3.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3.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3.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3.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3.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3.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3.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3.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3.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3.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3.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3.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3.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3.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3.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3.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3.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3.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3.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3.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3.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3.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3.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3.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3.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3.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3.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highest revenue</vt:lpstr>
      <vt:lpstr>highest quantity,month</vt:lpstr>
      <vt:lpstr>orders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praises k</cp:lastModifiedBy>
  <dcterms:created xsi:type="dcterms:W3CDTF">2025-12-08T06:06:55Z</dcterms:created>
  <dcterms:modified xsi:type="dcterms:W3CDTF">2025-12-08T11:08:00Z</dcterms:modified>
</cp:coreProperties>
</file>